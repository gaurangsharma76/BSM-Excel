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\Documents\FRM Part 2\Market Risk\Black-Scholes-Merton Model-Options-Excel\"/>
    </mc:Choice>
  </mc:AlternateContent>
  <xr:revisionPtr revIDLastSave="0" documentId="13_ncr:1_{56892B14-FC4E-4BC7-BAA6-FE64962B8271}" xr6:coauthVersionLast="47" xr6:coauthVersionMax="47" xr10:uidLastSave="{00000000-0000-0000-0000-000000000000}"/>
  <bookViews>
    <workbookView xWindow="-120" yWindow="-120" windowWidth="20730" windowHeight="11040" xr2:uid="{E919B011-083B-46B0-9C56-13FCD6AE3C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0" i="1" l="1"/>
  <c r="D29" i="1" a="1"/>
  <c r="D29" i="1" s="1"/>
  <c r="D28" i="1" a="1"/>
  <c r="D28" i="1" s="1"/>
  <c r="D27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9" i="1"/>
  <c r="Q9" i="1"/>
  <c r="W10" i="1" l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D26" i="1"/>
  <c r="D25" i="1"/>
  <c r="Q10" i="1" s="1"/>
  <c r="O10" i="1"/>
  <c r="C13" i="1"/>
  <c r="C15" i="1" s="1"/>
  <c r="U10" i="1" l="1"/>
  <c r="O11" i="1"/>
  <c r="C14" i="1"/>
  <c r="C16" i="1" s="1"/>
  <c r="C18" i="1" s="1"/>
  <c r="O12" i="1" l="1"/>
  <c r="Q11" i="1"/>
  <c r="U11" i="1" s="1"/>
  <c r="U9" i="1"/>
  <c r="U5" i="1" s="1"/>
  <c r="S5" i="1" l="1"/>
  <c r="W9" i="1"/>
  <c r="W5" i="1" s="1"/>
  <c r="Q12" i="1"/>
  <c r="O13" i="1"/>
  <c r="O14" i="1" l="1"/>
  <c r="Q13" i="1"/>
  <c r="U12" i="1"/>
  <c r="U13" i="1" l="1"/>
  <c r="O15" i="1"/>
  <c r="Q14" i="1"/>
  <c r="U14" i="1" s="1"/>
  <c r="O16" i="1" l="1"/>
  <c r="Q15" i="1"/>
  <c r="U15" i="1" s="1"/>
  <c r="O17" i="1" l="1"/>
  <c r="Q16" i="1"/>
  <c r="O18" i="1" l="1"/>
  <c r="Q17" i="1"/>
  <c r="U16" i="1"/>
  <c r="U17" i="1" l="1"/>
  <c r="O19" i="1"/>
  <c r="Q18" i="1"/>
  <c r="U18" i="1" s="1"/>
  <c r="O20" i="1" l="1"/>
  <c r="Q19" i="1"/>
  <c r="U19" i="1" s="1"/>
  <c r="O21" i="1" l="1"/>
  <c r="Q20" i="1"/>
  <c r="U20" i="1" l="1"/>
  <c r="O22" i="1"/>
  <c r="Q21" i="1"/>
  <c r="U21" i="1" s="1"/>
  <c r="O23" i="1" l="1"/>
  <c r="Q22" i="1"/>
  <c r="U22" i="1" l="1"/>
  <c r="O24" i="1"/>
  <c r="Q23" i="1"/>
  <c r="U23" i="1" s="1"/>
  <c r="O25" i="1" l="1"/>
  <c r="Q24" i="1"/>
  <c r="O26" i="1" l="1"/>
  <c r="Q25" i="1"/>
  <c r="U25" i="1" s="1"/>
  <c r="U24" i="1"/>
  <c r="O27" i="1" l="1"/>
  <c r="Q26" i="1"/>
  <c r="U26" i="1" s="1"/>
  <c r="O28" i="1" l="1"/>
  <c r="Q27" i="1"/>
  <c r="U27" i="1" s="1"/>
  <c r="O29" i="1" l="1"/>
  <c r="Q28" i="1"/>
  <c r="U28" i="1" s="1"/>
  <c r="O30" i="1" l="1"/>
  <c r="Q29" i="1"/>
  <c r="U29" i="1" l="1"/>
  <c r="O31" i="1"/>
  <c r="Q30" i="1"/>
  <c r="U30" i="1" l="1"/>
  <c r="O32" i="1"/>
  <c r="Q31" i="1"/>
  <c r="U31" i="1" l="1"/>
  <c r="O33" i="1"/>
  <c r="Q32" i="1"/>
  <c r="U32" i="1" l="1"/>
  <c r="O34" i="1"/>
  <c r="Q33" i="1"/>
  <c r="U33" i="1" l="1"/>
  <c r="O35" i="1"/>
  <c r="Q34" i="1"/>
  <c r="U34" i="1" s="1"/>
  <c r="O36" i="1" l="1"/>
  <c r="Q35" i="1"/>
  <c r="U35" i="1" l="1"/>
  <c r="O37" i="1"/>
  <c r="Q36" i="1"/>
  <c r="U36" i="1" s="1"/>
  <c r="O38" i="1" l="1"/>
  <c r="Q37" i="1"/>
  <c r="U37" i="1" s="1"/>
  <c r="O39" i="1" l="1"/>
  <c r="Q38" i="1"/>
  <c r="U38" i="1" l="1"/>
  <c r="O40" i="1"/>
  <c r="Q39" i="1"/>
  <c r="U39" i="1" s="1"/>
  <c r="O41" i="1" l="1"/>
  <c r="Q40" i="1"/>
  <c r="U40" i="1" s="1"/>
  <c r="O42" i="1" l="1"/>
  <c r="Q41" i="1"/>
  <c r="U41" i="1" l="1"/>
  <c r="O43" i="1"/>
  <c r="Q42" i="1"/>
  <c r="U42" i="1" s="1"/>
  <c r="O44" i="1" l="1"/>
  <c r="Q43" i="1"/>
  <c r="U43" i="1" s="1"/>
  <c r="O45" i="1" l="1"/>
  <c r="Q44" i="1"/>
  <c r="U44" i="1" s="1"/>
  <c r="O46" i="1" l="1"/>
  <c r="Q45" i="1"/>
  <c r="U45" i="1" s="1"/>
  <c r="O47" i="1" l="1"/>
  <c r="Q46" i="1"/>
  <c r="U46" i="1" l="1"/>
  <c r="O48" i="1"/>
  <c r="Q47" i="1"/>
  <c r="O49" i="1" l="1"/>
  <c r="Q48" i="1"/>
  <c r="U48" i="1" s="1"/>
  <c r="U47" i="1"/>
  <c r="O50" i="1" l="1"/>
  <c r="Q49" i="1"/>
  <c r="U49" i="1" s="1"/>
  <c r="O51" i="1" l="1"/>
  <c r="Q50" i="1"/>
  <c r="U50" i="1" s="1"/>
  <c r="O52" i="1" l="1"/>
  <c r="Q51" i="1"/>
  <c r="U51" i="1" l="1"/>
  <c r="O53" i="1"/>
  <c r="Q52" i="1"/>
  <c r="U52" i="1" s="1"/>
  <c r="O54" i="1" l="1"/>
  <c r="Q53" i="1"/>
  <c r="U53" i="1" s="1"/>
  <c r="O55" i="1" l="1"/>
  <c r="Q54" i="1"/>
  <c r="U54" i="1" s="1"/>
  <c r="O56" i="1" l="1"/>
  <c r="Q55" i="1"/>
  <c r="U55" i="1" s="1"/>
  <c r="O57" i="1" l="1"/>
  <c r="Q56" i="1"/>
  <c r="U56" i="1" l="1"/>
  <c r="O58" i="1"/>
  <c r="Q57" i="1"/>
  <c r="U57" i="1" s="1"/>
  <c r="O59" i="1" l="1"/>
  <c r="Q58" i="1"/>
  <c r="U58" i="1" s="1"/>
  <c r="O60" i="1" l="1"/>
  <c r="Q59" i="1"/>
  <c r="U59" i="1" s="1"/>
  <c r="O61" i="1" l="1"/>
  <c r="Q60" i="1"/>
  <c r="U60" i="1" l="1"/>
  <c r="O62" i="1"/>
  <c r="Q61" i="1"/>
  <c r="U61" i="1" s="1"/>
  <c r="O63" i="1" l="1"/>
  <c r="Q62" i="1"/>
  <c r="U62" i="1" l="1"/>
  <c r="O64" i="1"/>
  <c r="Q63" i="1"/>
  <c r="U63" i="1" s="1"/>
  <c r="O65" i="1" l="1"/>
  <c r="Q64" i="1"/>
  <c r="U64" i="1" s="1"/>
  <c r="O66" i="1" l="1"/>
  <c r="Q65" i="1"/>
  <c r="U65" i="1" s="1"/>
  <c r="O67" i="1" l="1"/>
  <c r="Q66" i="1"/>
  <c r="U66" i="1" s="1"/>
  <c r="O68" i="1" l="1"/>
  <c r="Q67" i="1"/>
  <c r="U67" i="1" s="1"/>
  <c r="O69" i="1" l="1"/>
  <c r="Q68" i="1"/>
  <c r="U68" i="1" l="1"/>
  <c r="O70" i="1"/>
  <c r="Q69" i="1"/>
  <c r="U69" i="1" s="1"/>
  <c r="O71" i="1" l="1"/>
  <c r="Q70" i="1"/>
  <c r="U70" i="1" l="1"/>
  <c r="O72" i="1"/>
  <c r="Q71" i="1"/>
  <c r="U71" i="1" s="1"/>
  <c r="O73" i="1" l="1"/>
  <c r="Q72" i="1"/>
  <c r="U72" i="1" s="1"/>
  <c r="O74" i="1" l="1"/>
  <c r="Q73" i="1"/>
  <c r="U73" i="1" l="1"/>
  <c r="O75" i="1"/>
  <c r="Q74" i="1"/>
  <c r="U74" i="1" s="1"/>
  <c r="O76" i="1" l="1"/>
  <c r="Q75" i="1"/>
  <c r="U75" i="1" s="1"/>
  <c r="O77" i="1" l="1"/>
  <c r="Q76" i="1"/>
  <c r="U76" i="1" s="1"/>
  <c r="O78" i="1" l="1"/>
  <c r="Q77" i="1"/>
  <c r="U77" i="1" s="1"/>
  <c r="O79" i="1" l="1"/>
  <c r="Q78" i="1"/>
  <c r="U78" i="1" s="1"/>
  <c r="O80" i="1" l="1"/>
  <c r="Q79" i="1"/>
  <c r="U79" i="1" l="1"/>
  <c r="O81" i="1"/>
  <c r="Q80" i="1"/>
  <c r="U80" i="1" l="1"/>
  <c r="O82" i="1"/>
  <c r="Q81" i="1"/>
  <c r="U81" i="1" l="1"/>
  <c r="O83" i="1"/>
  <c r="Q82" i="1"/>
  <c r="U82" i="1" s="1"/>
  <c r="O84" i="1" l="1"/>
  <c r="Q83" i="1"/>
  <c r="U83" i="1" l="1"/>
  <c r="O85" i="1"/>
  <c r="Q84" i="1"/>
  <c r="U84" i="1" s="1"/>
  <c r="O86" i="1" l="1"/>
  <c r="Q85" i="1"/>
  <c r="U85" i="1" s="1"/>
  <c r="O87" i="1" l="1"/>
  <c r="Q86" i="1"/>
  <c r="U86" i="1" s="1"/>
  <c r="O88" i="1" l="1"/>
  <c r="Q87" i="1"/>
  <c r="U87" i="1" l="1"/>
  <c r="O89" i="1"/>
  <c r="Q88" i="1"/>
  <c r="U88" i="1" l="1"/>
  <c r="O90" i="1"/>
  <c r="Q89" i="1"/>
  <c r="U89" i="1" l="1"/>
  <c r="O91" i="1"/>
  <c r="Q90" i="1"/>
  <c r="U90" i="1" s="1"/>
  <c r="O92" i="1" l="1"/>
  <c r="Q91" i="1"/>
  <c r="U91" i="1" l="1"/>
  <c r="O93" i="1"/>
  <c r="Q92" i="1"/>
  <c r="U92" i="1" l="1"/>
  <c r="O94" i="1"/>
  <c r="Q93" i="1"/>
  <c r="U93" i="1" l="1"/>
  <c r="O95" i="1"/>
  <c r="Q94" i="1"/>
  <c r="U94" i="1" s="1"/>
  <c r="O96" i="1" l="1"/>
  <c r="Q95" i="1"/>
  <c r="U95" i="1" s="1"/>
  <c r="O97" i="1" l="1"/>
  <c r="Q96" i="1"/>
  <c r="U96" i="1" s="1"/>
  <c r="O98" i="1" l="1"/>
  <c r="Q97" i="1"/>
  <c r="U97" i="1" s="1"/>
  <c r="O99" i="1" l="1"/>
  <c r="Q98" i="1"/>
  <c r="U98" i="1" s="1"/>
  <c r="O100" i="1" l="1"/>
  <c r="Q99" i="1"/>
  <c r="U99" i="1" l="1"/>
  <c r="O101" i="1"/>
  <c r="Q100" i="1"/>
  <c r="U100" i="1" l="1"/>
  <c r="O102" i="1"/>
  <c r="Q101" i="1"/>
  <c r="U101" i="1" s="1"/>
  <c r="O103" i="1" l="1"/>
  <c r="Q102" i="1"/>
  <c r="U102" i="1" l="1"/>
  <c r="O104" i="1"/>
  <c r="Q103" i="1"/>
  <c r="U103" i="1" s="1"/>
  <c r="O105" i="1" l="1"/>
  <c r="Q104" i="1"/>
  <c r="U104" i="1" s="1"/>
  <c r="O106" i="1" l="1"/>
  <c r="Q105" i="1"/>
  <c r="U105" i="1" s="1"/>
  <c r="O107" i="1" l="1"/>
  <c r="Q106" i="1"/>
  <c r="U106" i="1" l="1"/>
  <c r="O108" i="1"/>
  <c r="Q107" i="1"/>
  <c r="U107" i="1" s="1"/>
  <c r="O109" i="1" l="1"/>
  <c r="Q108" i="1"/>
  <c r="U108" i="1" s="1"/>
  <c r="O110" i="1" l="1"/>
  <c r="Q109" i="1"/>
  <c r="U109" i="1" s="1"/>
  <c r="O111" i="1" l="1"/>
  <c r="Q110" i="1"/>
  <c r="U110" i="1" s="1"/>
  <c r="O112" i="1" l="1"/>
  <c r="Q111" i="1"/>
  <c r="U111" i="1" s="1"/>
  <c r="O113" i="1" l="1"/>
  <c r="Q112" i="1"/>
  <c r="U112" i="1" s="1"/>
  <c r="O114" i="1" l="1"/>
  <c r="Q113" i="1"/>
  <c r="U113" i="1" s="1"/>
  <c r="O115" i="1" l="1"/>
  <c r="Q114" i="1"/>
  <c r="U114" i="1" s="1"/>
  <c r="O116" i="1" l="1"/>
  <c r="Q115" i="1"/>
  <c r="U115" i="1" l="1"/>
  <c r="O117" i="1"/>
  <c r="Q116" i="1"/>
  <c r="U116" i="1" s="1"/>
  <c r="O118" i="1" l="1"/>
  <c r="Q117" i="1"/>
  <c r="U117" i="1" s="1"/>
  <c r="O119" i="1" l="1"/>
  <c r="Q118" i="1"/>
  <c r="U118" i="1" l="1"/>
  <c r="O120" i="1"/>
  <c r="Q119" i="1"/>
  <c r="U119" i="1" s="1"/>
  <c r="O121" i="1" l="1"/>
  <c r="Q120" i="1"/>
  <c r="U120" i="1" s="1"/>
  <c r="O122" i="1" l="1"/>
  <c r="Q121" i="1"/>
  <c r="U121" i="1" l="1"/>
  <c r="O123" i="1"/>
  <c r="Q122" i="1"/>
  <c r="U122" i="1" s="1"/>
  <c r="O124" i="1" l="1"/>
  <c r="Q123" i="1"/>
  <c r="U123" i="1" s="1"/>
  <c r="O125" i="1" l="1"/>
  <c r="Q124" i="1"/>
  <c r="U124" i="1" l="1"/>
  <c r="O126" i="1"/>
  <c r="Q125" i="1"/>
  <c r="U125" i="1" s="1"/>
  <c r="O127" i="1" l="1"/>
  <c r="Q126" i="1"/>
  <c r="U126" i="1" l="1"/>
  <c r="O128" i="1"/>
  <c r="Q127" i="1"/>
  <c r="U127" i="1" s="1"/>
  <c r="O129" i="1" l="1"/>
  <c r="Q128" i="1"/>
  <c r="U128" i="1" l="1"/>
  <c r="O130" i="1"/>
  <c r="Q129" i="1"/>
  <c r="U129" i="1" l="1"/>
  <c r="O131" i="1"/>
  <c r="Q130" i="1"/>
  <c r="U130" i="1" s="1"/>
  <c r="O132" i="1" l="1"/>
  <c r="Q131" i="1"/>
  <c r="U131" i="1" l="1"/>
  <c r="O133" i="1"/>
  <c r="Q132" i="1"/>
  <c r="U132" i="1" s="1"/>
  <c r="O134" i="1" l="1"/>
  <c r="Q133" i="1"/>
  <c r="U133" i="1" l="1"/>
  <c r="O135" i="1"/>
  <c r="Q134" i="1"/>
  <c r="U134" i="1" l="1"/>
  <c r="O136" i="1"/>
  <c r="Q135" i="1"/>
  <c r="U135" i="1" s="1"/>
  <c r="O137" i="1" l="1"/>
  <c r="Q136" i="1"/>
  <c r="U136" i="1" l="1"/>
  <c r="O138" i="1"/>
  <c r="Q137" i="1"/>
  <c r="U137" i="1" l="1"/>
  <c r="O139" i="1"/>
  <c r="Q138" i="1"/>
  <c r="U138" i="1" s="1"/>
  <c r="O140" i="1" l="1"/>
  <c r="Q139" i="1"/>
  <c r="U139" i="1" l="1"/>
  <c r="O141" i="1"/>
  <c r="Q140" i="1"/>
  <c r="U140" i="1" l="1"/>
  <c r="O142" i="1"/>
  <c r="Q141" i="1"/>
  <c r="U141" i="1" s="1"/>
  <c r="O143" i="1" l="1"/>
  <c r="Q142" i="1"/>
  <c r="U142" i="1" l="1"/>
  <c r="O144" i="1"/>
  <c r="Q143" i="1"/>
  <c r="U143" i="1" s="1"/>
  <c r="O145" i="1" l="1"/>
  <c r="Q144" i="1"/>
  <c r="U144" i="1" s="1"/>
  <c r="O146" i="1" l="1"/>
  <c r="Q145" i="1"/>
  <c r="U145" i="1" s="1"/>
  <c r="O147" i="1" l="1"/>
  <c r="Q146" i="1"/>
  <c r="U146" i="1" l="1"/>
  <c r="O148" i="1"/>
  <c r="Q147" i="1"/>
  <c r="U147" i="1" s="1"/>
  <c r="O149" i="1" l="1"/>
  <c r="Q148" i="1"/>
  <c r="U148" i="1" s="1"/>
  <c r="O150" i="1" l="1"/>
  <c r="Q149" i="1"/>
  <c r="U149" i="1" s="1"/>
  <c r="O151" i="1" l="1"/>
  <c r="Q150" i="1"/>
  <c r="U150" i="1" l="1"/>
  <c r="O152" i="1"/>
  <c r="Q151" i="1"/>
  <c r="U151" i="1" l="1"/>
  <c r="O153" i="1"/>
  <c r="Q152" i="1"/>
  <c r="U152" i="1" s="1"/>
  <c r="O154" i="1" l="1"/>
  <c r="Q153" i="1"/>
  <c r="U153" i="1" l="1"/>
  <c r="O155" i="1"/>
  <c r="Q154" i="1"/>
  <c r="U154" i="1" s="1"/>
  <c r="O156" i="1" l="1"/>
  <c r="Q155" i="1"/>
  <c r="U155" i="1" s="1"/>
  <c r="O157" i="1" l="1"/>
  <c r="Q156" i="1"/>
  <c r="U156" i="1" s="1"/>
  <c r="O158" i="1" l="1"/>
  <c r="Q157" i="1"/>
  <c r="U157" i="1" s="1"/>
  <c r="O159" i="1" l="1"/>
  <c r="Q158" i="1"/>
  <c r="U158" i="1" s="1"/>
  <c r="O160" i="1" l="1"/>
  <c r="Q159" i="1"/>
  <c r="U159" i="1" l="1"/>
  <c r="O161" i="1"/>
  <c r="Q160" i="1"/>
  <c r="U160" i="1" s="1"/>
  <c r="O162" i="1" l="1"/>
  <c r="Q161" i="1"/>
  <c r="U161" i="1" l="1"/>
  <c r="O163" i="1"/>
  <c r="Q162" i="1"/>
  <c r="U162" i="1" l="1"/>
  <c r="O164" i="1"/>
  <c r="Q163" i="1"/>
  <c r="U163" i="1" l="1"/>
  <c r="O165" i="1"/>
  <c r="Q164" i="1"/>
  <c r="U164" i="1" l="1"/>
  <c r="O166" i="1"/>
  <c r="Q165" i="1"/>
  <c r="U165" i="1" s="1"/>
  <c r="O167" i="1" l="1"/>
  <c r="Q166" i="1"/>
  <c r="U166" i="1" l="1"/>
  <c r="O168" i="1"/>
  <c r="Q167" i="1"/>
  <c r="U167" i="1" l="1"/>
  <c r="O169" i="1"/>
  <c r="Q168" i="1"/>
  <c r="U168" i="1" s="1"/>
  <c r="O170" i="1" l="1"/>
  <c r="Q169" i="1"/>
  <c r="U169" i="1" l="1"/>
  <c r="O171" i="1"/>
  <c r="Q170" i="1"/>
  <c r="U170" i="1" s="1"/>
  <c r="O172" i="1" l="1"/>
  <c r="Q171" i="1"/>
  <c r="U171" i="1" s="1"/>
  <c r="O173" i="1" l="1"/>
  <c r="Q172" i="1"/>
  <c r="U172" i="1" s="1"/>
  <c r="O174" i="1" l="1"/>
  <c r="Q173" i="1"/>
  <c r="U173" i="1" s="1"/>
  <c r="O175" i="1" l="1"/>
  <c r="Q174" i="1"/>
  <c r="U174" i="1" s="1"/>
  <c r="O176" i="1" l="1"/>
  <c r="Q175" i="1"/>
  <c r="U175" i="1" l="1"/>
  <c r="O177" i="1"/>
  <c r="Q176" i="1"/>
  <c r="U176" i="1" s="1"/>
  <c r="O178" i="1" l="1"/>
  <c r="Q177" i="1"/>
  <c r="U177" i="1" l="1"/>
  <c r="O179" i="1"/>
  <c r="Q178" i="1"/>
  <c r="U178" i="1" l="1"/>
  <c r="O180" i="1"/>
  <c r="Q179" i="1"/>
  <c r="U179" i="1" s="1"/>
  <c r="O181" i="1" l="1"/>
  <c r="Q180" i="1"/>
  <c r="U180" i="1" s="1"/>
  <c r="O182" i="1" l="1"/>
  <c r="Q181" i="1"/>
  <c r="U181" i="1" l="1"/>
  <c r="O183" i="1"/>
  <c r="Q182" i="1"/>
  <c r="U182" i="1" s="1"/>
  <c r="O184" i="1" l="1"/>
  <c r="Q183" i="1"/>
  <c r="U183" i="1" s="1"/>
  <c r="O185" i="1" l="1"/>
  <c r="Q184" i="1"/>
  <c r="U184" i="1" s="1"/>
  <c r="O186" i="1" l="1"/>
  <c r="Q185" i="1"/>
  <c r="U185" i="1" l="1"/>
  <c r="O187" i="1"/>
  <c r="Q186" i="1"/>
  <c r="U186" i="1" l="1"/>
  <c r="O188" i="1"/>
  <c r="Q187" i="1"/>
  <c r="U187" i="1" l="1"/>
  <c r="O189" i="1"/>
  <c r="Q188" i="1"/>
  <c r="U188" i="1" l="1"/>
  <c r="O190" i="1"/>
  <c r="Q189" i="1"/>
  <c r="U189" i="1" l="1"/>
  <c r="O191" i="1"/>
  <c r="Q190" i="1"/>
  <c r="U190" i="1" l="1"/>
  <c r="O192" i="1"/>
  <c r="Q191" i="1"/>
  <c r="U191" i="1" s="1"/>
  <c r="O193" i="1" l="1"/>
  <c r="Q192" i="1"/>
  <c r="U192" i="1" l="1"/>
  <c r="O194" i="1"/>
  <c r="Q193" i="1"/>
  <c r="U193" i="1" s="1"/>
  <c r="O195" i="1" l="1"/>
  <c r="Q194" i="1"/>
  <c r="U194" i="1" s="1"/>
  <c r="O196" i="1" l="1"/>
  <c r="Q195" i="1"/>
  <c r="U195" i="1" s="1"/>
  <c r="O197" i="1" l="1"/>
  <c r="Q196" i="1"/>
  <c r="U196" i="1" l="1"/>
  <c r="O198" i="1"/>
  <c r="Q197" i="1"/>
  <c r="U197" i="1" l="1"/>
  <c r="O199" i="1"/>
  <c r="Q198" i="1"/>
  <c r="U198" i="1" l="1"/>
  <c r="O200" i="1"/>
  <c r="Q199" i="1"/>
  <c r="U199" i="1" l="1"/>
  <c r="O201" i="1"/>
  <c r="Q200" i="1"/>
  <c r="U200" i="1" l="1"/>
  <c r="O202" i="1"/>
  <c r="Q201" i="1"/>
  <c r="U201" i="1" l="1"/>
  <c r="O203" i="1"/>
  <c r="Q202" i="1"/>
  <c r="U202" i="1" l="1"/>
  <c r="O204" i="1"/>
  <c r="Q203" i="1"/>
  <c r="U203" i="1" l="1"/>
  <c r="O205" i="1"/>
  <c r="Q204" i="1"/>
  <c r="U204" i="1" l="1"/>
  <c r="O206" i="1"/>
  <c r="Q205" i="1"/>
  <c r="U205" i="1" l="1"/>
  <c r="O207" i="1"/>
  <c r="Q206" i="1"/>
  <c r="U206" i="1" s="1"/>
  <c r="O208" i="1" l="1"/>
  <c r="Q207" i="1"/>
  <c r="U207" i="1" l="1"/>
  <c r="O209" i="1"/>
  <c r="Q208" i="1"/>
  <c r="U208" i="1" s="1"/>
  <c r="O210" i="1" l="1"/>
  <c r="Q209" i="1"/>
  <c r="U209" i="1" l="1"/>
  <c r="O211" i="1"/>
  <c r="Q210" i="1"/>
  <c r="U210" i="1" s="1"/>
  <c r="O212" i="1" l="1"/>
  <c r="Q211" i="1"/>
  <c r="U211" i="1" l="1"/>
  <c r="O213" i="1"/>
  <c r="Q212" i="1"/>
  <c r="U212" i="1" s="1"/>
  <c r="O214" i="1" l="1"/>
  <c r="Q213" i="1"/>
  <c r="U213" i="1" l="1"/>
  <c r="O215" i="1"/>
  <c r="Q214" i="1"/>
  <c r="U214" i="1" s="1"/>
  <c r="O216" i="1" l="1"/>
  <c r="Q215" i="1"/>
  <c r="U215" i="1" s="1"/>
  <c r="O217" i="1" l="1"/>
  <c r="Q216" i="1"/>
  <c r="U216" i="1" l="1"/>
  <c r="O218" i="1"/>
  <c r="Q217" i="1"/>
  <c r="U217" i="1" s="1"/>
  <c r="O219" i="1" l="1"/>
  <c r="Q218" i="1"/>
  <c r="U218" i="1" l="1"/>
  <c r="O220" i="1"/>
  <c r="Q219" i="1"/>
  <c r="U219" i="1" s="1"/>
  <c r="O221" i="1" l="1"/>
  <c r="Q220" i="1"/>
  <c r="U220" i="1" s="1"/>
  <c r="O222" i="1" l="1"/>
  <c r="Q221" i="1"/>
  <c r="U221" i="1" l="1"/>
  <c r="O223" i="1"/>
  <c r="Q222" i="1"/>
  <c r="U222" i="1" s="1"/>
  <c r="O224" i="1" l="1"/>
  <c r="Q223" i="1"/>
  <c r="U223" i="1" s="1"/>
  <c r="O225" i="1" l="1"/>
  <c r="Q224" i="1"/>
  <c r="U224" i="1" l="1"/>
  <c r="O226" i="1"/>
  <c r="Q225" i="1"/>
  <c r="U225" i="1" l="1"/>
  <c r="O227" i="1"/>
  <c r="Q226" i="1"/>
  <c r="U226" i="1" s="1"/>
  <c r="O228" i="1" l="1"/>
  <c r="Q227" i="1"/>
  <c r="U227" i="1" s="1"/>
  <c r="O229" i="1" l="1"/>
  <c r="Q228" i="1"/>
  <c r="U228" i="1" l="1"/>
  <c r="O230" i="1"/>
  <c r="Q229" i="1"/>
  <c r="U229" i="1" l="1"/>
  <c r="O231" i="1"/>
  <c r="Q230" i="1"/>
  <c r="U230" i="1" s="1"/>
  <c r="O232" i="1" l="1"/>
  <c r="Q231" i="1"/>
  <c r="U231" i="1" l="1"/>
  <c r="O233" i="1"/>
  <c r="Q232" i="1"/>
  <c r="U232" i="1" s="1"/>
  <c r="O234" i="1" l="1"/>
  <c r="Q233" i="1"/>
  <c r="U233" i="1" l="1"/>
  <c r="O235" i="1"/>
  <c r="Q234" i="1"/>
  <c r="U234" i="1" s="1"/>
  <c r="O236" i="1" l="1"/>
  <c r="Q235" i="1"/>
  <c r="U235" i="1" l="1"/>
  <c r="O237" i="1"/>
  <c r="Q236" i="1"/>
  <c r="U236" i="1" l="1"/>
  <c r="O238" i="1"/>
  <c r="Q237" i="1"/>
  <c r="U237" i="1" s="1"/>
  <c r="O239" i="1" l="1"/>
  <c r="Q238" i="1"/>
  <c r="U238" i="1" s="1"/>
  <c r="O240" i="1" l="1"/>
  <c r="Q239" i="1"/>
  <c r="U239" i="1" s="1"/>
  <c r="O241" i="1" l="1"/>
  <c r="Q240" i="1"/>
  <c r="U240" i="1" l="1"/>
  <c r="O242" i="1"/>
  <c r="Q241" i="1"/>
  <c r="U241" i="1" s="1"/>
  <c r="O243" i="1" l="1"/>
  <c r="Q242" i="1"/>
  <c r="U242" i="1" s="1"/>
  <c r="O244" i="1" l="1"/>
  <c r="Q243" i="1"/>
  <c r="U243" i="1" l="1"/>
  <c r="O245" i="1"/>
  <c r="Q244" i="1"/>
  <c r="U244" i="1" l="1"/>
  <c r="O246" i="1"/>
  <c r="Q245" i="1"/>
  <c r="U245" i="1" s="1"/>
  <c r="O247" i="1" l="1"/>
  <c r="Q246" i="1"/>
  <c r="U246" i="1" l="1"/>
  <c r="O248" i="1"/>
  <c r="Q247" i="1"/>
  <c r="U247" i="1" s="1"/>
  <c r="O249" i="1" l="1"/>
  <c r="Q248" i="1"/>
  <c r="U248" i="1" s="1"/>
  <c r="O250" i="1" l="1"/>
  <c r="Q249" i="1"/>
  <c r="U249" i="1" s="1"/>
  <c r="O251" i="1" l="1"/>
  <c r="Q250" i="1"/>
  <c r="U250" i="1" s="1"/>
  <c r="O252" i="1" l="1"/>
  <c r="Q251" i="1"/>
  <c r="U251" i="1" l="1"/>
  <c r="O253" i="1"/>
  <c r="Q252" i="1"/>
  <c r="U252" i="1" s="1"/>
  <c r="O254" i="1" l="1"/>
  <c r="Q253" i="1"/>
  <c r="U253" i="1" s="1"/>
  <c r="O255" i="1" l="1"/>
  <c r="Q254" i="1"/>
  <c r="U254" i="1" s="1"/>
  <c r="O256" i="1" l="1"/>
  <c r="Q255" i="1"/>
  <c r="U255" i="1" l="1"/>
  <c r="O257" i="1"/>
  <c r="Q256" i="1"/>
  <c r="U256" i="1" l="1"/>
  <c r="O258" i="1"/>
  <c r="Q257" i="1"/>
  <c r="U257" i="1" l="1"/>
  <c r="O259" i="1"/>
  <c r="Q258" i="1"/>
  <c r="O260" i="1" l="1"/>
  <c r="Q259" i="1"/>
  <c r="U259" i="1" s="1"/>
  <c r="U258" i="1"/>
  <c r="O261" i="1" l="1"/>
  <c r="Q260" i="1"/>
  <c r="U260" i="1" s="1"/>
  <c r="O262" i="1" l="1"/>
  <c r="Q261" i="1"/>
  <c r="U261" i="1" l="1"/>
  <c r="O263" i="1"/>
  <c r="Q262" i="1"/>
  <c r="U262" i="1" l="1"/>
  <c r="O264" i="1"/>
  <c r="Q263" i="1"/>
  <c r="U263" i="1" s="1"/>
  <c r="O265" i="1" l="1"/>
  <c r="Q264" i="1"/>
  <c r="U264" i="1" s="1"/>
  <c r="O266" i="1" l="1"/>
  <c r="Q265" i="1"/>
  <c r="U265" i="1" s="1"/>
  <c r="O267" i="1" l="1"/>
  <c r="Q266" i="1"/>
  <c r="U266" i="1" l="1"/>
  <c r="O268" i="1"/>
  <c r="Q267" i="1"/>
  <c r="U267" i="1" s="1"/>
  <c r="O269" i="1" l="1"/>
  <c r="Q268" i="1"/>
  <c r="U268" i="1" s="1"/>
  <c r="O270" i="1" l="1"/>
  <c r="Q269" i="1"/>
  <c r="U269" i="1" l="1"/>
  <c r="O271" i="1"/>
  <c r="Q270" i="1"/>
  <c r="U270" i="1" l="1"/>
  <c r="O272" i="1"/>
  <c r="Q271" i="1"/>
  <c r="U271" i="1" s="1"/>
  <c r="O273" i="1" l="1"/>
  <c r="Q272" i="1"/>
  <c r="U272" i="1" s="1"/>
  <c r="O274" i="1" l="1"/>
  <c r="Q273" i="1"/>
  <c r="U273" i="1" l="1"/>
  <c r="O275" i="1"/>
  <c r="Q274" i="1"/>
  <c r="U274" i="1" s="1"/>
  <c r="O276" i="1" l="1"/>
  <c r="Q275" i="1"/>
  <c r="U275" i="1" s="1"/>
  <c r="O277" i="1" l="1"/>
  <c r="Q276" i="1"/>
  <c r="U276" i="1" s="1"/>
  <c r="O278" i="1" l="1"/>
  <c r="Q277" i="1"/>
  <c r="U277" i="1" s="1"/>
  <c r="O279" i="1" l="1"/>
  <c r="Q278" i="1"/>
  <c r="U278" i="1" l="1"/>
  <c r="O280" i="1"/>
  <c r="Q279" i="1"/>
  <c r="U279" i="1" s="1"/>
  <c r="O281" i="1" l="1"/>
  <c r="Q280" i="1"/>
  <c r="U280" i="1" s="1"/>
  <c r="O282" i="1" l="1"/>
  <c r="Q281" i="1"/>
  <c r="U281" i="1" s="1"/>
  <c r="O283" i="1" l="1"/>
  <c r="Q282" i="1"/>
  <c r="U282" i="1" l="1"/>
  <c r="O284" i="1"/>
  <c r="Q283" i="1"/>
  <c r="U283" i="1" s="1"/>
  <c r="O285" i="1" l="1"/>
  <c r="Q284" i="1"/>
  <c r="U284" i="1" s="1"/>
  <c r="O286" i="1" l="1"/>
  <c r="Q285" i="1"/>
  <c r="U285" i="1" s="1"/>
  <c r="O287" i="1" l="1"/>
  <c r="Q286" i="1"/>
  <c r="U286" i="1" s="1"/>
  <c r="O288" i="1" l="1"/>
  <c r="Q287" i="1"/>
  <c r="U287" i="1" l="1"/>
  <c r="O289" i="1"/>
  <c r="Q288" i="1"/>
  <c r="U288" i="1" s="1"/>
  <c r="O290" i="1" l="1"/>
  <c r="Q289" i="1"/>
  <c r="U289" i="1" s="1"/>
  <c r="O291" i="1" l="1"/>
  <c r="Q290" i="1"/>
  <c r="U290" i="1" s="1"/>
  <c r="O292" i="1" l="1"/>
  <c r="Q291" i="1"/>
  <c r="U291" i="1" l="1"/>
  <c r="O293" i="1"/>
  <c r="Q292" i="1"/>
  <c r="U292" i="1" l="1"/>
  <c r="O294" i="1"/>
  <c r="Q293" i="1"/>
  <c r="U293" i="1" s="1"/>
  <c r="O295" i="1" l="1"/>
  <c r="Q294" i="1"/>
  <c r="U294" i="1" s="1"/>
  <c r="O296" i="1" l="1"/>
  <c r="Q295" i="1"/>
  <c r="U295" i="1" l="1"/>
  <c r="O297" i="1"/>
  <c r="Q296" i="1"/>
  <c r="U296" i="1" s="1"/>
  <c r="O298" i="1" l="1"/>
  <c r="Q297" i="1"/>
  <c r="U297" i="1" l="1"/>
  <c r="O299" i="1"/>
  <c r="Q298" i="1"/>
  <c r="U298" i="1" s="1"/>
  <c r="O300" i="1" l="1"/>
  <c r="Q299" i="1"/>
  <c r="U299" i="1" s="1"/>
  <c r="O301" i="1" l="1"/>
  <c r="Q300" i="1"/>
  <c r="U300" i="1" l="1"/>
  <c r="O302" i="1"/>
  <c r="Q301" i="1"/>
  <c r="U301" i="1" s="1"/>
  <c r="O303" i="1" l="1"/>
  <c r="Q302" i="1"/>
  <c r="U302" i="1" l="1"/>
  <c r="O304" i="1"/>
  <c r="Q303" i="1"/>
  <c r="U303" i="1" s="1"/>
  <c r="O305" i="1" l="1"/>
  <c r="Q304" i="1"/>
  <c r="U304" i="1" s="1"/>
  <c r="O306" i="1" l="1"/>
  <c r="Q305" i="1"/>
  <c r="U305" i="1" l="1"/>
  <c r="O307" i="1"/>
  <c r="Q306" i="1"/>
  <c r="U306" i="1" s="1"/>
  <c r="O308" i="1" l="1"/>
  <c r="Q307" i="1"/>
  <c r="U307" i="1" l="1"/>
  <c r="O309" i="1"/>
  <c r="Q308" i="1"/>
  <c r="U308" i="1" l="1"/>
  <c r="O310" i="1"/>
  <c r="Q309" i="1"/>
  <c r="U309" i="1" s="1"/>
  <c r="O311" i="1" l="1"/>
  <c r="Q310" i="1"/>
  <c r="U310" i="1" l="1"/>
  <c r="O312" i="1"/>
  <c r="Q311" i="1"/>
  <c r="U311" i="1" s="1"/>
  <c r="O313" i="1" l="1"/>
  <c r="Q312" i="1"/>
  <c r="U312" i="1" s="1"/>
  <c r="O314" i="1" l="1"/>
  <c r="Q313" i="1"/>
  <c r="U313" i="1" s="1"/>
  <c r="O315" i="1" l="1"/>
  <c r="Q314" i="1"/>
  <c r="U314" i="1" l="1"/>
  <c r="O316" i="1"/>
  <c r="Q315" i="1"/>
  <c r="U315" i="1" s="1"/>
  <c r="O317" i="1" l="1"/>
  <c r="Q316" i="1"/>
  <c r="U316" i="1" l="1"/>
  <c r="O318" i="1"/>
  <c r="Q317" i="1"/>
  <c r="U317" i="1" s="1"/>
  <c r="O319" i="1" l="1"/>
  <c r="Q318" i="1"/>
  <c r="U318" i="1" s="1"/>
  <c r="O320" i="1" l="1"/>
  <c r="U319" i="1"/>
  <c r="Q319" i="1"/>
  <c r="O321" i="1" l="1"/>
  <c r="Q320" i="1"/>
  <c r="U320" i="1" s="1"/>
  <c r="O322" i="1" l="1"/>
  <c r="Q321" i="1"/>
  <c r="U321" i="1" l="1"/>
  <c r="O323" i="1"/>
  <c r="Q322" i="1"/>
  <c r="U322" i="1" s="1"/>
  <c r="O324" i="1" l="1"/>
  <c r="Q323" i="1"/>
  <c r="U323" i="1" l="1"/>
  <c r="O325" i="1"/>
  <c r="Q324" i="1"/>
  <c r="U324" i="1" l="1"/>
  <c r="O326" i="1"/>
  <c r="Q325" i="1"/>
  <c r="U325" i="1" s="1"/>
  <c r="O327" i="1" l="1"/>
  <c r="Q326" i="1"/>
  <c r="U326" i="1" l="1"/>
  <c r="O328" i="1"/>
  <c r="Q327" i="1"/>
  <c r="U327" i="1" l="1"/>
  <c r="O329" i="1"/>
  <c r="Q328" i="1"/>
  <c r="O330" i="1" l="1"/>
  <c r="Q329" i="1"/>
  <c r="U328" i="1"/>
  <c r="U329" i="1" l="1"/>
  <c r="O331" i="1"/>
  <c r="Q330" i="1"/>
  <c r="O332" i="1" l="1"/>
  <c r="Q331" i="1"/>
  <c r="U330" i="1"/>
  <c r="U331" i="1" l="1"/>
  <c r="O333" i="1"/>
  <c r="Q332" i="1"/>
  <c r="O334" i="1" l="1"/>
  <c r="Q333" i="1"/>
  <c r="U333" i="1" s="1"/>
  <c r="U332" i="1"/>
  <c r="O335" i="1" l="1"/>
  <c r="Q334" i="1"/>
  <c r="U334" i="1" s="1"/>
  <c r="O336" i="1" l="1"/>
  <c r="Q335" i="1"/>
  <c r="U335" i="1" l="1"/>
  <c r="O337" i="1"/>
  <c r="Q336" i="1"/>
  <c r="U336" i="1" s="1"/>
  <c r="O338" i="1" l="1"/>
  <c r="Q337" i="1"/>
  <c r="U337" i="1" s="1"/>
  <c r="O339" i="1" l="1"/>
  <c r="Q338" i="1"/>
  <c r="U338" i="1" s="1"/>
  <c r="O340" i="1" l="1"/>
  <c r="Q339" i="1"/>
  <c r="U339" i="1" l="1"/>
  <c r="O341" i="1"/>
  <c r="Q340" i="1"/>
  <c r="U340" i="1" l="1"/>
  <c r="O342" i="1"/>
  <c r="Q341" i="1"/>
  <c r="U341" i="1" l="1"/>
  <c r="O343" i="1"/>
  <c r="Q342" i="1"/>
  <c r="U342" i="1" s="1"/>
  <c r="O344" i="1" l="1"/>
  <c r="Q343" i="1"/>
  <c r="U343" i="1" s="1"/>
  <c r="O345" i="1" l="1"/>
  <c r="Q344" i="1"/>
  <c r="U344" i="1" l="1"/>
  <c r="O346" i="1"/>
  <c r="Q345" i="1"/>
  <c r="U345" i="1" s="1"/>
  <c r="O347" i="1" l="1"/>
  <c r="Q346" i="1"/>
  <c r="U346" i="1" s="1"/>
  <c r="O348" i="1" l="1"/>
  <c r="Q347" i="1"/>
  <c r="U347" i="1" l="1"/>
  <c r="O349" i="1"/>
  <c r="Q348" i="1"/>
  <c r="U348" i="1" s="1"/>
  <c r="O350" i="1" l="1"/>
  <c r="Q349" i="1"/>
  <c r="U349" i="1" s="1"/>
  <c r="O351" i="1" l="1"/>
  <c r="Q350" i="1"/>
  <c r="U350" i="1" s="1"/>
  <c r="O352" i="1" l="1"/>
  <c r="Q351" i="1"/>
  <c r="U351" i="1" l="1"/>
  <c r="O353" i="1"/>
  <c r="Q352" i="1"/>
  <c r="U352" i="1" s="1"/>
  <c r="O354" i="1" l="1"/>
  <c r="Q353" i="1"/>
  <c r="U353" i="1" s="1"/>
  <c r="O355" i="1" l="1"/>
  <c r="Q354" i="1"/>
  <c r="U354" i="1" s="1"/>
  <c r="O356" i="1" l="1"/>
  <c r="Q355" i="1"/>
  <c r="U355" i="1" s="1"/>
  <c r="O357" i="1" l="1"/>
  <c r="Q356" i="1"/>
  <c r="U356" i="1" l="1"/>
  <c r="O358" i="1"/>
  <c r="Q357" i="1"/>
  <c r="U357" i="1" s="1"/>
  <c r="O359" i="1" l="1"/>
  <c r="Q358" i="1"/>
  <c r="U358" i="1" l="1"/>
  <c r="O360" i="1"/>
  <c r="Q359" i="1"/>
  <c r="U359" i="1" l="1"/>
  <c r="O361" i="1"/>
  <c r="Q360" i="1"/>
  <c r="U360" i="1" l="1"/>
  <c r="O362" i="1"/>
  <c r="Q361" i="1"/>
  <c r="U361" i="1" s="1"/>
  <c r="O363" i="1" l="1"/>
  <c r="Q362" i="1"/>
  <c r="U362" i="1" s="1"/>
  <c r="O364" i="1" l="1"/>
  <c r="Q363" i="1"/>
  <c r="U363" i="1" s="1"/>
  <c r="O365" i="1" l="1"/>
  <c r="Q364" i="1"/>
  <c r="U364" i="1" s="1"/>
  <c r="O366" i="1" l="1"/>
  <c r="Q365" i="1"/>
  <c r="U365" i="1" s="1"/>
  <c r="O367" i="1" l="1"/>
  <c r="Q366" i="1"/>
  <c r="U366" i="1" s="1"/>
  <c r="O368" i="1" l="1"/>
  <c r="Q367" i="1"/>
  <c r="U367" i="1" s="1"/>
  <c r="O369" i="1" l="1"/>
  <c r="Q368" i="1"/>
  <c r="U368" i="1" l="1"/>
  <c r="O370" i="1"/>
  <c r="Q369" i="1"/>
  <c r="U369" i="1" s="1"/>
  <c r="O371" i="1" l="1"/>
  <c r="Q370" i="1"/>
  <c r="U370" i="1" s="1"/>
  <c r="O372" i="1" l="1"/>
  <c r="Q371" i="1"/>
  <c r="U371" i="1" s="1"/>
  <c r="O373" i="1" l="1"/>
  <c r="Q372" i="1"/>
  <c r="U372" i="1" l="1"/>
  <c r="O374" i="1"/>
  <c r="Q373" i="1"/>
  <c r="U373" i="1" s="1"/>
  <c r="O375" i="1" l="1"/>
  <c r="Q374" i="1"/>
  <c r="U374" i="1" l="1"/>
  <c r="O376" i="1"/>
  <c r="Q375" i="1"/>
  <c r="U375" i="1" s="1"/>
  <c r="O377" i="1" l="1"/>
  <c r="Q376" i="1"/>
  <c r="U376" i="1" l="1"/>
  <c r="O378" i="1"/>
  <c r="Q377" i="1"/>
  <c r="U377" i="1" l="1"/>
  <c r="O379" i="1"/>
  <c r="Q378" i="1"/>
  <c r="U378" i="1" l="1"/>
  <c r="O380" i="1"/>
  <c r="Q379" i="1"/>
  <c r="U379" i="1" s="1"/>
  <c r="O381" i="1" l="1"/>
  <c r="Q380" i="1"/>
  <c r="U380" i="1" l="1"/>
  <c r="O382" i="1"/>
  <c r="Q381" i="1"/>
  <c r="U381" i="1" s="1"/>
  <c r="O383" i="1" l="1"/>
  <c r="Q382" i="1"/>
  <c r="U382" i="1" s="1"/>
  <c r="O384" i="1" l="1"/>
  <c r="Q383" i="1"/>
  <c r="U383" i="1" l="1"/>
  <c r="O385" i="1"/>
  <c r="Q384" i="1"/>
  <c r="U384" i="1" s="1"/>
  <c r="O386" i="1" l="1"/>
  <c r="Q385" i="1"/>
  <c r="U385" i="1" l="1"/>
  <c r="O387" i="1"/>
  <c r="Q386" i="1"/>
  <c r="U386" i="1" s="1"/>
  <c r="O388" i="1" l="1"/>
  <c r="Q387" i="1"/>
  <c r="U387" i="1" s="1"/>
  <c r="O389" i="1" l="1"/>
  <c r="Q388" i="1"/>
  <c r="U388" i="1" s="1"/>
  <c r="O390" i="1" l="1"/>
  <c r="Q389" i="1"/>
  <c r="U389" i="1" s="1"/>
  <c r="O391" i="1" l="1"/>
  <c r="Q390" i="1"/>
  <c r="U390" i="1" l="1"/>
  <c r="O392" i="1"/>
  <c r="Q391" i="1"/>
  <c r="U391" i="1" l="1"/>
  <c r="O393" i="1"/>
  <c r="Q392" i="1"/>
  <c r="U392" i="1" s="1"/>
  <c r="O394" i="1" l="1"/>
  <c r="Q393" i="1"/>
  <c r="U393" i="1" l="1"/>
  <c r="O395" i="1"/>
  <c r="Q394" i="1"/>
  <c r="U394" i="1" s="1"/>
  <c r="O396" i="1" l="1"/>
  <c r="Q395" i="1"/>
  <c r="U395" i="1" s="1"/>
  <c r="O397" i="1" l="1"/>
  <c r="Q396" i="1"/>
  <c r="U396" i="1" l="1"/>
  <c r="O398" i="1"/>
  <c r="Q397" i="1"/>
  <c r="U397" i="1" l="1"/>
  <c r="O399" i="1"/>
  <c r="Q398" i="1"/>
  <c r="U398" i="1" s="1"/>
  <c r="O400" i="1" l="1"/>
  <c r="Q399" i="1"/>
  <c r="U399" i="1" s="1"/>
  <c r="O401" i="1" l="1"/>
  <c r="Q400" i="1"/>
  <c r="U400" i="1" l="1"/>
  <c r="O402" i="1"/>
  <c r="Q401" i="1"/>
  <c r="U401" i="1" l="1"/>
  <c r="O403" i="1"/>
  <c r="Q402" i="1"/>
  <c r="U402" i="1" s="1"/>
  <c r="O404" i="1" l="1"/>
  <c r="Q403" i="1"/>
  <c r="U403" i="1" l="1"/>
  <c r="O405" i="1"/>
  <c r="Q404" i="1"/>
  <c r="U404" i="1" s="1"/>
  <c r="O406" i="1" l="1"/>
  <c r="Q405" i="1"/>
  <c r="U405" i="1" l="1"/>
  <c r="O407" i="1"/>
  <c r="Q406" i="1"/>
  <c r="U406" i="1" s="1"/>
  <c r="O408" i="1" l="1"/>
  <c r="Q407" i="1"/>
  <c r="U407" i="1" s="1"/>
  <c r="O409" i="1" l="1"/>
  <c r="Q408" i="1"/>
  <c r="U408" i="1" s="1"/>
  <c r="O410" i="1" l="1"/>
  <c r="Q409" i="1"/>
  <c r="U409" i="1" s="1"/>
  <c r="O411" i="1" l="1"/>
  <c r="Q410" i="1"/>
  <c r="U410" i="1" s="1"/>
  <c r="O412" i="1" l="1"/>
  <c r="Q411" i="1"/>
  <c r="U411" i="1" s="1"/>
  <c r="O413" i="1" l="1"/>
  <c r="Q412" i="1"/>
  <c r="U412" i="1" l="1"/>
  <c r="O414" i="1"/>
  <c r="Q413" i="1"/>
  <c r="U413" i="1" s="1"/>
  <c r="O415" i="1" l="1"/>
  <c r="Q414" i="1"/>
  <c r="U414" i="1" l="1"/>
  <c r="O416" i="1"/>
  <c r="Q415" i="1"/>
  <c r="U415" i="1" l="1"/>
  <c r="O417" i="1"/>
  <c r="Q416" i="1"/>
  <c r="U416" i="1" s="1"/>
  <c r="O418" i="1" l="1"/>
  <c r="Q417" i="1"/>
  <c r="U417" i="1" l="1"/>
  <c r="O419" i="1"/>
  <c r="Q418" i="1"/>
  <c r="U418" i="1" l="1"/>
  <c r="O420" i="1"/>
  <c r="Q419" i="1"/>
  <c r="U419" i="1" s="1"/>
  <c r="O421" i="1" l="1"/>
  <c r="Q420" i="1"/>
  <c r="U420" i="1" l="1"/>
  <c r="O422" i="1"/>
  <c r="Q421" i="1"/>
  <c r="U421" i="1" s="1"/>
  <c r="O423" i="1" l="1"/>
  <c r="Q422" i="1"/>
  <c r="U422" i="1" s="1"/>
  <c r="O424" i="1" l="1"/>
  <c r="Q423" i="1"/>
  <c r="U423" i="1" s="1"/>
  <c r="O425" i="1" l="1"/>
  <c r="Q424" i="1"/>
  <c r="U424" i="1" s="1"/>
  <c r="O426" i="1" l="1"/>
  <c r="Q425" i="1"/>
  <c r="U425" i="1" s="1"/>
  <c r="O427" i="1" l="1"/>
  <c r="Q426" i="1"/>
  <c r="U426" i="1" s="1"/>
  <c r="O428" i="1" l="1"/>
  <c r="Q427" i="1"/>
  <c r="U427" i="1" l="1"/>
  <c r="O429" i="1"/>
  <c r="Q428" i="1"/>
  <c r="U428" i="1" l="1"/>
  <c r="O430" i="1"/>
  <c r="Q429" i="1"/>
  <c r="U429" i="1" s="1"/>
  <c r="O431" i="1" l="1"/>
  <c r="Q430" i="1"/>
  <c r="U430" i="1" s="1"/>
  <c r="O432" i="1" l="1"/>
  <c r="Q431" i="1"/>
  <c r="U431" i="1" s="1"/>
  <c r="O433" i="1" l="1"/>
  <c r="Q432" i="1"/>
  <c r="U432" i="1" s="1"/>
  <c r="O434" i="1" l="1"/>
  <c r="Q433" i="1"/>
  <c r="U433" i="1" s="1"/>
  <c r="O435" i="1" l="1"/>
  <c r="Q434" i="1"/>
  <c r="U434" i="1" s="1"/>
  <c r="O436" i="1" l="1"/>
  <c r="Q435" i="1"/>
  <c r="U435" i="1" s="1"/>
  <c r="O437" i="1" l="1"/>
  <c r="Q436" i="1"/>
  <c r="U436" i="1" s="1"/>
  <c r="O438" i="1" l="1"/>
  <c r="Q437" i="1"/>
  <c r="U437" i="1" s="1"/>
  <c r="O439" i="1" l="1"/>
  <c r="Q438" i="1"/>
  <c r="U438" i="1" s="1"/>
  <c r="O440" i="1" l="1"/>
  <c r="Q439" i="1"/>
  <c r="U439" i="1" s="1"/>
  <c r="O441" i="1" l="1"/>
  <c r="Q440" i="1"/>
  <c r="U440" i="1" l="1"/>
  <c r="O442" i="1"/>
  <c r="Q441" i="1"/>
  <c r="U441" i="1" s="1"/>
  <c r="O443" i="1" l="1"/>
  <c r="Q442" i="1"/>
  <c r="U442" i="1" s="1"/>
  <c r="O444" i="1" l="1"/>
  <c r="Q443" i="1"/>
  <c r="U443" i="1" s="1"/>
  <c r="O445" i="1" l="1"/>
  <c r="Q444" i="1"/>
  <c r="U444" i="1" s="1"/>
  <c r="O446" i="1" l="1"/>
  <c r="Q445" i="1"/>
  <c r="U445" i="1" l="1"/>
  <c r="O447" i="1"/>
  <c r="Q446" i="1"/>
  <c r="U446" i="1" l="1"/>
  <c r="O448" i="1"/>
  <c r="Q447" i="1"/>
  <c r="U447" i="1" s="1"/>
  <c r="O449" i="1" l="1"/>
  <c r="Q448" i="1"/>
  <c r="U448" i="1" l="1"/>
  <c r="O450" i="1"/>
  <c r="Q449" i="1"/>
  <c r="U449" i="1" l="1"/>
  <c r="O451" i="1"/>
  <c r="Q450" i="1"/>
  <c r="U450" i="1" l="1"/>
  <c r="O452" i="1"/>
  <c r="Q451" i="1"/>
  <c r="U451" i="1" s="1"/>
  <c r="O453" i="1" l="1"/>
  <c r="Q452" i="1"/>
  <c r="U452" i="1" s="1"/>
  <c r="O454" i="1" l="1"/>
  <c r="Q453" i="1"/>
  <c r="U453" i="1" s="1"/>
  <c r="O455" i="1" l="1"/>
  <c r="Q454" i="1"/>
  <c r="U454" i="1" s="1"/>
  <c r="O456" i="1" l="1"/>
  <c r="Q455" i="1"/>
  <c r="U455" i="1" s="1"/>
  <c r="O457" i="1" l="1"/>
  <c r="Q456" i="1"/>
  <c r="U456" i="1" s="1"/>
  <c r="O458" i="1" l="1"/>
  <c r="Q457" i="1"/>
  <c r="U457" i="1" l="1"/>
  <c r="O459" i="1"/>
  <c r="Q458" i="1"/>
  <c r="U458" i="1" s="1"/>
  <c r="O460" i="1" l="1"/>
  <c r="Q459" i="1"/>
  <c r="U459" i="1" s="1"/>
  <c r="O461" i="1" l="1"/>
  <c r="Q460" i="1"/>
  <c r="U460" i="1" l="1"/>
  <c r="O462" i="1"/>
  <c r="Q461" i="1"/>
  <c r="U461" i="1" l="1"/>
  <c r="O463" i="1"/>
  <c r="Q462" i="1"/>
  <c r="U462" i="1" s="1"/>
  <c r="O464" i="1" l="1"/>
  <c r="Q463" i="1"/>
  <c r="U463" i="1" s="1"/>
  <c r="O465" i="1" l="1"/>
  <c r="Q464" i="1"/>
  <c r="U464" i="1" l="1"/>
  <c r="O466" i="1"/>
  <c r="Q465" i="1"/>
  <c r="U465" i="1" s="1"/>
  <c r="O467" i="1" l="1"/>
  <c r="Q466" i="1"/>
  <c r="U466" i="1" l="1"/>
  <c r="O468" i="1"/>
  <c r="Q467" i="1"/>
  <c r="U467" i="1" l="1"/>
  <c r="O469" i="1"/>
  <c r="Q468" i="1"/>
  <c r="U468" i="1" s="1"/>
  <c r="O470" i="1" l="1"/>
  <c r="Q469" i="1"/>
  <c r="U469" i="1" l="1"/>
  <c r="O471" i="1"/>
  <c r="Q470" i="1"/>
  <c r="U470" i="1" l="1"/>
  <c r="O472" i="1"/>
  <c r="Q471" i="1"/>
  <c r="U471" i="1" s="1"/>
  <c r="O473" i="1" l="1"/>
  <c r="Q472" i="1"/>
  <c r="U472" i="1" s="1"/>
  <c r="O474" i="1" l="1"/>
  <c r="Q473" i="1"/>
  <c r="U473" i="1" s="1"/>
  <c r="O475" i="1" l="1"/>
  <c r="Q474" i="1"/>
  <c r="U474" i="1" s="1"/>
  <c r="O476" i="1" l="1"/>
  <c r="Q475" i="1"/>
  <c r="U475" i="1" s="1"/>
  <c r="O477" i="1" l="1"/>
  <c r="Q476" i="1"/>
  <c r="U476" i="1" l="1"/>
  <c r="O478" i="1"/>
  <c r="Q477" i="1"/>
  <c r="U477" i="1" s="1"/>
  <c r="O479" i="1" l="1"/>
  <c r="Q478" i="1"/>
  <c r="U478" i="1" s="1"/>
  <c r="O480" i="1" l="1"/>
  <c r="Q479" i="1"/>
  <c r="U479" i="1" s="1"/>
  <c r="O481" i="1" l="1"/>
  <c r="Q480" i="1"/>
  <c r="U480" i="1" l="1"/>
  <c r="O482" i="1"/>
  <c r="Q481" i="1"/>
  <c r="U481" i="1" s="1"/>
  <c r="O483" i="1" l="1"/>
  <c r="Q482" i="1"/>
  <c r="U482" i="1" s="1"/>
  <c r="O484" i="1" l="1"/>
  <c r="Q483" i="1"/>
  <c r="U483" i="1" s="1"/>
  <c r="O485" i="1" l="1"/>
  <c r="Q484" i="1"/>
  <c r="U484" i="1" s="1"/>
  <c r="O486" i="1" l="1"/>
  <c r="Q485" i="1"/>
  <c r="U485" i="1" s="1"/>
  <c r="O487" i="1" l="1"/>
  <c r="Q486" i="1"/>
  <c r="U486" i="1" s="1"/>
  <c r="O488" i="1" l="1"/>
  <c r="Q487" i="1"/>
  <c r="U487" i="1" l="1"/>
  <c r="O489" i="1"/>
  <c r="Q488" i="1"/>
  <c r="U488" i="1" l="1"/>
  <c r="O490" i="1"/>
  <c r="Q489" i="1"/>
  <c r="U489" i="1" s="1"/>
  <c r="O491" i="1" l="1"/>
  <c r="Q490" i="1"/>
  <c r="U490" i="1" s="1"/>
  <c r="O492" i="1" l="1"/>
  <c r="Q491" i="1"/>
  <c r="U491" i="1" l="1"/>
  <c r="O493" i="1"/>
  <c r="Q492" i="1"/>
  <c r="U492" i="1" s="1"/>
  <c r="O494" i="1" l="1"/>
  <c r="Q493" i="1"/>
  <c r="U493" i="1" s="1"/>
  <c r="O495" i="1" l="1"/>
  <c r="Q494" i="1"/>
  <c r="U494" i="1" l="1"/>
  <c r="O496" i="1"/>
  <c r="Q495" i="1"/>
  <c r="U495" i="1" s="1"/>
  <c r="O497" i="1" l="1"/>
  <c r="Q496" i="1"/>
  <c r="U496" i="1" s="1"/>
  <c r="O498" i="1" l="1"/>
  <c r="Q497" i="1"/>
  <c r="U497" i="1" s="1"/>
  <c r="O499" i="1" l="1"/>
  <c r="Q498" i="1"/>
  <c r="U498" i="1" s="1"/>
  <c r="O500" i="1" l="1"/>
  <c r="Q499" i="1"/>
  <c r="U499" i="1" s="1"/>
  <c r="O501" i="1" l="1"/>
  <c r="Q500" i="1"/>
  <c r="U500" i="1" l="1"/>
  <c r="O502" i="1"/>
  <c r="Q501" i="1"/>
  <c r="U501" i="1" s="1"/>
  <c r="O503" i="1" l="1"/>
  <c r="Q502" i="1"/>
  <c r="U502" i="1" s="1"/>
  <c r="O504" i="1" l="1"/>
  <c r="Q503" i="1"/>
  <c r="U503" i="1" s="1"/>
  <c r="O505" i="1" l="1"/>
  <c r="Q504" i="1"/>
  <c r="U504" i="1" l="1"/>
  <c r="O506" i="1"/>
  <c r="Q505" i="1"/>
  <c r="U505" i="1" s="1"/>
  <c r="O507" i="1" l="1"/>
  <c r="Q506" i="1"/>
  <c r="U506" i="1" s="1"/>
  <c r="O508" i="1" l="1"/>
  <c r="U507" i="1"/>
  <c r="Q507" i="1"/>
  <c r="O509" i="1" l="1"/>
  <c r="Q508" i="1"/>
  <c r="U508" i="1" s="1"/>
  <c r="O510" i="1" l="1"/>
  <c r="Q509" i="1"/>
  <c r="U509" i="1" s="1"/>
  <c r="O511" i="1" l="1"/>
  <c r="Q510" i="1"/>
  <c r="U510" i="1" s="1"/>
  <c r="O512" i="1" l="1"/>
  <c r="Q511" i="1"/>
  <c r="U511" i="1" s="1"/>
  <c r="O513" i="1" l="1"/>
  <c r="Q512" i="1"/>
  <c r="U512" i="1" s="1"/>
  <c r="O514" i="1" l="1"/>
  <c r="Q513" i="1"/>
  <c r="U513" i="1" s="1"/>
  <c r="O515" i="1" l="1"/>
  <c r="Q514" i="1"/>
  <c r="U514" i="1" s="1"/>
  <c r="O516" i="1" l="1"/>
  <c r="Q515" i="1"/>
  <c r="U515" i="1" s="1"/>
  <c r="O517" i="1" l="1"/>
  <c r="Q516" i="1"/>
  <c r="U516" i="1" l="1"/>
  <c r="O518" i="1"/>
  <c r="Q517" i="1"/>
  <c r="U517" i="1" s="1"/>
  <c r="O519" i="1" l="1"/>
  <c r="Q518" i="1"/>
  <c r="U518" i="1" l="1"/>
  <c r="O520" i="1"/>
  <c r="Q519" i="1"/>
  <c r="U519" i="1" s="1"/>
  <c r="O521" i="1" l="1"/>
  <c r="Q520" i="1"/>
  <c r="U520" i="1" l="1"/>
  <c r="O522" i="1"/>
  <c r="Q521" i="1"/>
  <c r="U521" i="1" s="1"/>
  <c r="O523" i="1" l="1"/>
  <c r="Q522" i="1"/>
  <c r="U522" i="1" l="1"/>
  <c r="O524" i="1"/>
  <c r="Q523" i="1"/>
  <c r="U523" i="1" l="1"/>
  <c r="O525" i="1"/>
  <c r="Q524" i="1"/>
  <c r="U524" i="1" l="1"/>
  <c r="O526" i="1"/>
  <c r="Q525" i="1"/>
  <c r="U525" i="1" s="1"/>
  <c r="O527" i="1" l="1"/>
  <c r="Q526" i="1"/>
  <c r="U526" i="1" s="1"/>
  <c r="O528" i="1" l="1"/>
  <c r="Q527" i="1"/>
  <c r="U527" i="1" l="1"/>
  <c r="O529" i="1"/>
  <c r="Q528" i="1"/>
  <c r="U528" i="1" l="1"/>
  <c r="O530" i="1"/>
  <c r="Q529" i="1"/>
  <c r="U529" i="1" l="1"/>
  <c r="O531" i="1"/>
  <c r="Q530" i="1"/>
  <c r="U530" i="1" l="1"/>
  <c r="O532" i="1"/>
  <c r="Q531" i="1"/>
  <c r="U531" i="1" l="1"/>
  <c r="O533" i="1"/>
  <c r="Q532" i="1"/>
  <c r="U532" i="1" l="1"/>
  <c r="O534" i="1"/>
  <c r="Q533" i="1"/>
  <c r="U533" i="1" s="1"/>
  <c r="O535" i="1" l="1"/>
  <c r="Q534" i="1"/>
  <c r="U534" i="1" s="1"/>
  <c r="O536" i="1" l="1"/>
  <c r="Q535" i="1"/>
  <c r="U535" i="1" l="1"/>
  <c r="O537" i="1"/>
  <c r="Q536" i="1"/>
  <c r="U536" i="1" l="1"/>
  <c r="O538" i="1"/>
  <c r="Q537" i="1"/>
  <c r="U537" i="1" s="1"/>
  <c r="O539" i="1" l="1"/>
  <c r="Q538" i="1"/>
  <c r="U538" i="1" s="1"/>
  <c r="O540" i="1" l="1"/>
  <c r="Q539" i="1"/>
  <c r="U539" i="1" s="1"/>
  <c r="O541" i="1" l="1"/>
  <c r="Q540" i="1"/>
  <c r="U540" i="1" s="1"/>
  <c r="O542" i="1" l="1"/>
  <c r="Q541" i="1"/>
  <c r="U541" i="1" s="1"/>
  <c r="O543" i="1" l="1"/>
  <c r="Q542" i="1"/>
  <c r="U542" i="1" s="1"/>
  <c r="O544" i="1" l="1"/>
  <c r="Q543" i="1"/>
  <c r="U543" i="1" s="1"/>
  <c r="O545" i="1" l="1"/>
  <c r="Q544" i="1"/>
  <c r="U544" i="1" l="1"/>
  <c r="O546" i="1"/>
  <c r="Q545" i="1"/>
  <c r="U545" i="1" s="1"/>
  <c r="O547" i="1" l="1"/>
  <c r="Q546" i="1"/>
  <c r="U546" i="1" s="1"/>
  <c r="O548" i="1" l="1"/>
  <c r="Q547" i="1"/>
  <c r="U547" i="1" s="1"/>
  <c r="O549" i="1" l="1"/>
  <c r="Q548" i="1"/>
  <c r="U548" i="1" s="1"/>
  <c r="O550" i="1" l="1"/>
  <c r="Q549" i="1"/>
  <c r="U549" i="1" s="1"/>
  <c r="O551" i="1" l="1"/>
  <c r="Q550" i="1"/>
  <c r="U550" i="1" s="1"/>
  <c r="O552" i="1" l="1"/>
  <c r="Q551" i="1"/>
  <c r="U551" i="1" s="1"/>
  <c r="O553" i="1" l="1"/>
  <c r="Q552" i="1"/>
  <c r="U552" i="1" l="1"/>
  <c r="O554" i="1"/>
  <c r="Q553" i="1"/>
  <c r="U553" i="1" s="1"/>
  <c r="O555" i="1" l="1"/>
  <c r="Q554" i="1"/>
  <c r="U554" i="1" s="1"/>
  <c r="O556" i="1" l="1"/>
  <c r="Q555" i="1"/>
  <c r="U555" i="1" l="1"/>
  <c r="O557" i="1"/>
  <c r="Q556" i="1"/>
  <c r="U556" i="1" s="1"/>
  <c r="O558" i="1" l="1"/>
  <c r="Q557" i="1"/>
  <c r="U557" i="1" s="1"/>
  <c r="O559" i="1" l="1"/>
  <c r="Q558" i="1"/>
  <c r="U558" i="1" s="1"/>
  <c r="O560" i="1" l="1"/>
  <c r="Q559" i="1"/>
  <c r="U559" i="1" s="1"/>
  <c r="O561" i="1" l="1"/>
  <c r="Q560" i="1"/>
  <c r="U560" i="1" s="1"/>
  <c r="O562" i="1" l="1"/>
  <c r="Q561" i="1"/>
  <c r="U561" i="1" s="1"/>
  <c r="O563" i="1" l="1"/>
  <c r="Q562" i="1"/>
  <c r="U562" i="1" l="1"/>
  <c r="O564" i="1"/>
  <c r="Q563" i="1"/>
  <c r="U563" i="1" l="1"/>
  <c r="O565" i="1"/>
  <c r="Q564" i="1"/>
  <c r="U564" i="1" l="1"/>
  <c r="O566" i="1"/>
  <c r="Q565" i="1"/>
  <c r="U565" i="1" s="1"/>
  <c r="O567" i="1" l="1"/>
  <c r="Q566" i="1"/>
  <c r="U566" i="1" l="1"/>
  <c r="O568" i="1"/>
  <c r="Q567" i="1"/>
  <c r="U567" i="1" s="1"/>
  <c r="O569" i="1" l="1"/>
  <c r="Q568" i="1"/>
  <c r="U568" i="1" s="1"/>
  <c r="O570" i="1" l="1"/>
  <c r="Q569" i="1"/>
  <c r="U569" i="1" s="1"/>
  <c r="O571" i="1" l="1"/>
  <c r="Q570" i="1"/>
  <c r="U570" i="1" s="1"/>
  <c r="O572" i="1" l="1"/>
  <c r="Q571" i="1"/>
  <c r="U571" i="1" s="1"/>
  <c r="O573" i="1" l="1"/>
  <c r="Q572" i="1"/>
  <c r="U572" i="1" l="1"/>
  <c r="O574" i="1"/>
  <c r="Q573" i="1"/>
  <c r="U573" i="1" s="1"/>
  <c r="O575" i="1" l="1"/>
  <c r="Q574" i="1"/>
  <c r="U574" i="1" l="1"/>
  <c r="O576" i="1"/>
  <c r="Q575" i="1"/>
  <c r="U575" i="1" s="1"/>
  <c r="O577" i="1" l="1"/>
  <c r="Q576" i="1"/>
  <c r="U576" i="1" s="1"/>
  <c r="O578" i="1" l="1"/>
  <c r="Q577" i="1"/>
  <c r="U577" i="1" s="1"/>
  <c r="O579" i="1" l="1"/>
  <c r="Q578" i="1"/>
  <c r="U578" i="1" s="1"/>
  <c r="O580" i="1" l="1"/>
  <c r="Q579" i="1"/>
  <c r="U579" i="1" l="1"/>
  <c r="O581" i="1"/>
  <c r="Q580" i="1"/>
  <c r="U580" i="1" s="1"/>
  <c r="O582" i="1" l="1"/>
  <c r="Q581" i="1"/>
  <c r="U581" i="1" s="1"/>
  <c r="O583" i="1" l="1"/>
  <c r="Q582" i="1"/>
  <c r="U582" i="1" s="1"/>
  <c r="O584" i="1" l="1"/>
  <c r="Q583" i="1"/>
  <c r="U583" i="1" s="1"/>
  <c r="O585" i="1" l="1"/>
  <c r="Q584" i="1"/>
  <c r="U584" i="1" s="1"/>
  <c r="O586" i="1" l="1"/>
  <c r="Q585" i="1"/>
  <c r="U585" i="1" s="1"/>
  <c r="O587" i="1" l="1"/>
  <c r="Q586" i="1"/>
  <c r="U586" i="1" s="1"/>
  <c r="O588" i="1" l="1"/>
  <c r="Q587" i="1"/>
  <c r="U587" i="1" l="1"/>
  <c r="O589" i="1"/>
  <c r="Q588" i="1"/>
  <c r="O590" i="1" l="1"/>
  <c r="Q589" i="1"/>
  <c r="U589" i="1" s="1"/>
  <c r="U588" i="1"/>
  <c r="O591" i="1" l="1"/>
  <c r="Q590" i="1"/>
  <c r="U590" i="1" l="1"/>
  <c r="O592" i="1"/>
  <c r="Q591" i="1"/>
  <c r="U591" i="1" l="1"/>
  <c r="O593" i="1"/>
  <c r="Q592" i="1"/>
  <c r="U592" i="1" s="1"/>
  <c r="O594" i="1" l="1"/>
  <c r="Q593" i="1"/>
  <c r="U593" i="1" l="1"/>
  <c r="O595" i="1"/>
  <c r="Q594" i="1"/>
  <c r="U594" i="1" l="1"/>
  <c r="O596" i="1"/>
  <c r="Q595" i="1"/>
  <c r="U595" i="1" s="1"/>
  <c r="O597" i="1" l="1"/>
  <c r="Q596" i="1"/>
  <c r="U596" i="1" s="1"/>
  <c r="O598" i="1" l="1"/>
  <c r="Q597" i="1"/>
  <c r="U597" i="1" l="1"/>
  <c r="O599" i="1"/>
  <c r="Q598" i="1"/>
  <c r="U598" i="1" s="1"/>
  <c r="O600" i="1" l="1"/>
  <c r="Q599" i="1"/>
  <c r="U599" i="1" s="1"/>
  <c r="O601" i="1" l="1"/>
  <c r="Q600" i="1"/>
  <c r="U600" i="1" l="1"/>
  <c r="O602" i="1"/>
  <c r="Q601" i="1"/>
  <c r="U601" i="1" s="1"/>
  <c r="O603" i="1" l="1"/>
  <c r="Q602" i="1"/>
  <c r="U602" i="1" l="1"/>
  <c r="O604" i="1"/>
  <c r="Q603" i="1"/>
  <c r="U603" i="1" l="1"/>
  <c r="O605" i="1"/>
  <c r="Q604" i="1"/>
  <c r="U604" i="1" s="1"/>
  <c r="O606" i="1" l="1"/>
  <c r="Q605" i="1"/>
  <c r="U605" i="1" s="1"/>
  <c r="O607" i="1" l="1"/>
  <c r="Q606" i="1"/>
  <c r="U606" i="1" s="1"/>
  <c r="O608" i="1" l="1"/>
  <c r="Q607" i="1"/>
  <c r="U607" i="1" s="1"/>
  <c r="O609" i="1" l="1"/>
  <c r="Q608" i="1"/>
  <c r="U608" i="1" l="1"/>
  <c r="O610" i="1"/>
  <c r="Q609" i="1"/>
  <c r="U609" i="1" l="1"/>
  <c r="O611" i="1"/>
  <c r="Q610" i="1"/>
  <c r="U610" i="1" s="1"/>
  <c r="O612" i="1" l="1"/>
  <c r="Q611" i="1"/>
  <c r="U611" i="1" s="1"/>
  <c r="O613" i="1" l="1"/>
  <c r="Q612" i="1"/>
  <c r="U612" i="1" l="1"/>
  <c r="O614" i="1"/>
  <c r="Q613" i="1"/>
  <c r="U613" i="1" s="1"/>
  <c r="O615" i="1" l="1"/>
  <c r="Q614" i="1"/>
  <c r="U614" i="1" l="1"/>
  <c r="O616" i="1"/>
  <c r="Q615" i="1"/>
  <c r="U615" i="1" l="1"/>
  <c r="O617" i="1"/>
  <c r="Q616" i="1"/>
  <c r="U616" i="1" l="1"/>
  <c r="O618" i="1"/>
  <c r="Q617" i="1"/>
  <c r="U617" i="1" l="1"/>
  <c r="O619" i="1"/>
  <c r="Q618" i="1"/>
  <c r="U618" i="1" s="1"/>
  <c r="O620" i="1" l="1"/>
  <c r="Q619" i="1"/>
  <c r="U619" i="1" l="1"/>
  <c r="O621" i="1"/>
  <c r="Q620" i="1"/>
  <c r="U620" i="1" l="1"/>
  <c r="O622" i="1"/>
  <c r="Q621" i="1"/>
  <c r="U621" i="1" s="1"/>
  <c r="O623" i="1" l="1"/>
  <c r="Q622" i="1"/>
  <c r="U622" i="1" s="1"/>
  <c r="O624" i="1" l="1"/>
  <c r="Q623" i="1"/>
  <c r="U623" i="1" s="1"/>
  <c r="O625" i="1" l="1"/>
  <c r="Q624" i="1"/>
  <c r="U624" i="1" s="1"/>
  <c r="O626" i="1" l="1"/>
  <c r="Q625" i="1"/>
  <c r="U625" i="1" l="1"/>
  <c r="O627" i="1"/>
  <c r="Q626" i="1"/>
  <c r="U626" i="1" s="1"/>
  <c r="O628" i="1" l="1"/>
  <c r="Q627" i="1"/>
  <c r="U627" i="1" s="1"/>
  <c r="O629" i="1" l="1"/>
  <c r="Q628" i="1"/>
  <c r="U628" i="1" s="1"/>
  <c r="O630" i="1" l="1"/>
  <c r="Q629" i="1"/>
  <c r="U629" i="1" l="1"/>
  <c r="O631" i="1"/>
  <c r="Q630" i="1"/>
  <c r="U630" i="1" s="1"/>
  <c r="O632" i="1" l="1"/>
  <c r="Q631" i="1"/>
  <c r="U631" i="1" l="1"/>
  <c r="O633" i="1"/>
  <c r="Q632" i="1"/>
  <c r="U632" i="1" l="1"/>
  <c r="O634" i="1"/>
  <c r="Q633" i="1"/>
  <c r="U633" i="1" s="1"/>
  <c r="O635" i="1" l="1"/>
  <c r="Q634" i="1"/>
  <c r="U634" i="1" s="1"/>
  <c r="O636" i="1" l="1"/>
  <c r="Q635" i="1"/>
  <c r="U635" i="1" s="1"/>
  <c r="O637" i="1" l="1"/>
  <c r="Q636" i="1"/>
  <c r="U636" i="1" l="1"/>
  <c r="O638" i="1"/>
  <c r="Q637" i="1"/>
  <c r="U637" i="1" l="1"/>
  <c r="O639" i="1"/>
  <c r="Q638" i="1"/>
  <c r="U638" i="1" l="1"/>
  <c r="O640" i="1"/>
  <c r="Q639" i="1"/>
  <c r="U639" i="1" s="1"/>
  <c r="O641" i="1" l="1"/>
  <c r="U640" i="1"/>
  <c r="Q640" i="1"/>
  <c r="O642" i="1" l="1"/>
  <c r="Q641" i="1"/>
  <c r="U641" i="1" s="1"/>
  <c r="O643" i="1" l="1"/>
  <c r="Q642" i="1"/>
  <c r="U642" i="1" l="1"/>
  <c r="O644" i="1"/>
  <c r="Q643" i="1"/>
  <c r="U643" i="1" s="1"/>
  <c r="O645" i="1" l="1"/>
  <c r="Q644" i="1"/>
  <c r="U644" i="1" s="1"/>
  <c r="O646" i="1" l="1"/>
  <c r="Q645" i="1"/>
  <c r="U645" i="1" s="1"/>
  <c r="O647" i="1" l="1"/>
  <c r="Q646" i="1"/>
  <c r="U646" i="1" l="1"/>
  <c r="O648" i="1"/>
  <c r="Q647" i="1"/>
  <c r="U647" i="1" s="1"/>
  <c r="O649" i="1" l="1"/>
  <c r="Q648" i="1"/>
  <c r="U648" i="1" s="1"/>
  <c r="O650" i="1" l="1"/>
  <c r="Q649" i="1"/>
  <c r="U649" i="1" l="1"/>
  <c r="O651" i="1"/>
  <c r="Q650" i="1"/>
  <c r="O652" i="1" l="1"/>
  <c r="Q651" i="1"/>
  <c r="U651" i="1" s="1"/>
  <c r="U650" i="1"/>
  <c r="O653" i="1" l="1"/>
  <c r="Q652" i="1"/>
  <c r="U652" i="1" l="1"/>
  <c r="O654" i="1"/>
  <c r="Q653" i="1"/>
  <c r="U653" i="1" s="1"/>
  <c r="O655" i="1" l="1"/>
  <c r="Q654" i="1"/>
  <c r="U654" i="1" s="1"/>
  <c r="O656" i="1" l="1"/>
  <c r="Q655" i="1"/>
  <c r="U655" i="1" s="1"/>
  <c r="O657" i="1" l="1"/>
  <c r="Q656" i="1"/>
  <c r="U656" i="1" s="1"/>
  <c r="O658" i="1" l="1"/>
  <c r="Q657" i="1"/>
  <c r="U657" i="1" s="1"/>
  <c r="O659" i="1" l="1"/>
  <c r="Q658" i="1"/>
  <c r="U658" i="1" l="1"/>
  <c r="O660" i="1"/>
  <c r="Q659" i="1"/>
  <c r="U659" i="1" l="1"/>
  <c r="O661" i="1"/>
  <c r="Q660" i="1"/>
  <c r="U660" i="1" s="1"/>
  <c r="O662" i="1" l="1"/>
  <c r="Q661" i="1"/>
  <c r="U661" i="1" s="1"/>
  <c r="O663" i="1" l="1"/>
  <c r="Q662" i="1"/>
  <c r="U662" i="1" s="1"/>
  <c r="O664" i="1" l="1"/>
  <c r="Q663" i="1"/>
  <c r="U663" i="1" l="1"/>
  <c r="O665" i="1"/>
  <c r="Q664" i="1"/>
  <c r="U664" i="1" l="1"/>
  <c r="O666" i="1"/>
  <c r="Q665" i="1"/>
  <c r="U665" i="1" s="1"/>
  <c r="O667" i="1" l="1"/>
  <c r="Q666" i="1"/>
  <c r="U666" i="1" s="1"/>
  <c r="O668" i="1" l="1"/>
  <c r="Q667" i="1"/>
  <c r="U667" i="1" s="1"/>
  <c r="O669" i="1" l="1"/>
  <c r="Q668" i="1"/>
  <c r="U668" i="1" l="1"/>
  <c r="O670" i="1"/>
  <c r="Q669" i="1"/>
  <c r="U669" i="1" s="1"/>
  <c r="O671" i="1" l="1"/>
  <c r="Q670" i="1"/>
  <c r="U670" i="1" s="1"/>
  <c r="O672" i="1" l="1"/>
  <c r="Q671" i="1"/>
  <c r="U671" i="1" s="1"/>
  <c r="O673" i="1" l="1"/>
  <c r="Q672" i="1"/>
  <c r="U672" i="1" s="1"/>
  <c r="O674" i="1" l="1"/>
  <c r="Q673" i="1"/>
  <c r="U673" i="1" s="1"/>
  <c r="O675" i="1" l="1"/>
  <c r="Q674" i="1"/>
  <c r="U674" i="1" l="1"/>
  <c r="O676" i="1"/>
  <c r="Q675" i="1"/>
  <c r="U675" i="1" s="1"/>
  <c r="O677" i="1" l="1"/>
  <c r="Q676" i="1"/>
  <c r="U676" i="1" s="1"/>
  <c r="O678" i="1" l="1"/>
  <c r="Q677" i="1"/>
  <c r="U677" i="1" l="1"/>
  <c r="O679" i="1"/>
  <c r="Q678" i="1"/>
  <c r="O680" i="1" l="1"/>
  <c r="Q679" i="1"/>
  <c r="U678" i="1"/>
  <c r="U679" i="1" l="1"/>
  <c r="O681" i="1"/>
  <c r="Q680" i="1"/>
  <c r="U680" i="1" s="1"/>
  <c r="O682" i="1" l="1"/>
  <c r="Q681" i="1"/>
  <c r="U681" i="1" s="1"/>
  <c r="O683" i="1" l="1"/>
  <c r="Q682" i="1"/>
  <c r="U682" i="1" l="1"/>
  <c r="O684" i="1"/>
  <c r="Q683" i="1"/>
  <c r="O685" i="1" l="1"/>
  <c r="U684" i="1"/>
  <c r="Q684" i="1"/>
  <c r="U683" i="1"/>
  <c r="O686" i="1" l="1"/>
  <c r="Q685" i="1"/>
  <c r="U685" i="1" s="1"/>
  <c r="O687" i="1" l="1"/>
  <c r="Q686" i="1"/>
  <c r="U686" i="1" s="1"/>
  <c r="O688" i="1" l="1"/>
  <c r="Q687" i="1"/>
  <c r="U687" i="1" s="1"/>
  <c r="O689" i="1" l="1"/>
  <c r="Q688" i="1"/>
  <c r="U688" i="1" l="1"/>
  <c r="O690" i="1"/>
  <c r="Q689" i="1"/>
  <c r="U689" i="1" s="1"/>
  <c r="O691" i="1" l="1"/>
  <c r="Q690" i="1"/>
  <c r="U690" i="1" s="1"/>
  <c r="O692" i="1" l="1"/>
  <c r="Q691" i="1"/>
  <c r="U691" i="1" s="1"/>
  <c r="O693" i="1" l="1"/>
  <c r="Q692" i="1"/>
  <c r="U692" i="1" s="1"/>
  <c r="O694" i="1" l="1"/>
  <c r="Q693" i="1"/>
  <c r="U693" i="1" l="1"/>
  <c r="O695" i="1"/>
  <c r="Q694" i="1"/>
  <c r="U694" i="1" s="1"/>
  <c r="O696" i="1" l="1"/>
  <c r="Q695" i="1"/>
  <c r="U695" i="1" s="1"/>
  <c r="O697" i="1" l="1"/>
  <c r="Q696" i="1"/>
  <c r="U696" i="1" s="1"/>
  <c r="O698" i="1" l="1"/>
  <c r="Q697" i="1"/>
  <c r="U697" i="1" s="1"/>
  <c r="O699" i="1" l="1"/>
  <c r="Q698" i="1"/>
  <c r="U698" i="1" s="1"/>
  <c r="O700" i="1" l="1"/>
  <c r="Q699" i="1"/>
  <c r="U699" i="1" s="1"/>
  <c r="O701" i="1" l="1"/>
  <c r="Q700" i="1"/>
  <c r="U700" i="1" s="1"/>
  <c r="O702" i="1" l="1"/>
  <c r="Q701" i="1"/>
  <c r="U701" i="1" s="1"/>
  <c r="O703" i="1" l="1"/>
  <c r="Q702" i="1"/>
  <c r="U702" i="1" s="1"/>
  <c r="O704" i="1" l="1"/>
  <c r="Q703" i="1"/>
  <c r="U703" i="1" s="1"/>
  <c r="O705" i="1" l="1"/>
  <c r="Q704" i="1"/>
  <c r="U704" i="1" s="1"/>
  <c r="O706" i="1" l="1"/>
  <c r="Q705" i="1"/>
  <c r="U705" i="1" s="1"/>
  <c r="O707" i="1" l="1"/>
  <c r="Q706" i="1"/>
  <c r="U706" i="1" s="1"/>
  <c r="O708" i="1" l="1"/>
  <c r="Q707" i="1"/>
  <c r="U707" i="1" l="1"/>
  <c r="O709" i="1"/>
  <c r="Q708" i="1"/>
  <c r="U708" i="1" s="1"/>
  <c r="O710" i="1" l="1"/>
  <c r="Q709" i="1"/>
  <c r="U709" i="1" s="1"/>
  <c r="O711" i="1" l="1"/>
  <c r="Q710" i="1"/>
  <c r="U710" i="1" s="1"/>
  <c r="O712" i="1" l="1"/>
  <c r="Q711" i="1"/>
  <c r="U711" i="1" s="1"/>
  <c r="O713" i="1" l="1"/>
  <c r="Q712" i="1"/>
  <c r="U712" i="1" s="1"/>
  <c r="O714" i="1" l="1"/>
  <c r="Q713" i="1"/>
  <c r="U713" i="1" s="1"/>
  <c r="O715" i="1" l="1"/>
  <c r="Q714" i="1"/>
  <c r="U714" i="1" s="1"/>
  <c r="O716" i="1" l="1"/>
  <c r="Q715" i="1"/>
  <c r="U715" i="1" l="1"/>
  <c r="O717" i="1"/>
  <c r="Q716" i="1"/>
  <c r="U716" i="1" s="1"/>
  <c r="O718" i="1" l="1"/>
  <c r="Q717" i="1"/>
  <c r="U717" i="1" s="1"/>
  <c r="O719" i="1" l="1"/>
  <c r="Q718" i="1"/>
  <c r="U718" i="1" s="1"/>
  <c r="O720" i="1" l="1"/>
  <c r="Q719" i="1"/>
  <c r="U719" i="1" l="1"/>
  <c r="O721" i="1"/>
  <c r="Q720" i="1"/>
  <c r="U720" i="1" l="1"/>
  <c r="O722" i="1"/>
  <c r="Q721" i="1"/>
  <c r="U721" i="1" l="1"/>
  <c r="O723" i="1"/>
  <c r="Q722" i="1"/>
  <c r="U722" i="1" s="1"/>
  <c r="O724" i="1" l="1"/>
  <c r="Q723" i="1"/>
  <c r="U723" i="1" s="1"/>
  <c r="O725" i="1" l="1"/>
  <c r="Q724" i="1"/>
  <c r="U724" i="1" s="1"/>
  <c r="O726" i="1" l="1"/>
  <c r="Q725" i="1"/>
  <c r="U725" i="1" s="1"/>
  <c r="O727" i="1" l="1"/>
  <c r="Q726" i="1"/>
  <c r="U726" i="1" l="1"/>
  <c r="O728" i="1"/>
  <c r="Q727" i="1"/>
  <c r="U727" i="1" s="1"/>
  <c r="O729" i="1" l="1"/>
  <c r="Q728" i="1"/>
  <c r="U728" i="1" s="1"/>
  <c r="O730" i="1" l="1"/>
  <c r="Q729" i="1"/>
  <c r="U729" i="1" l="1"/>
  <c r="O731" i="1"/>
  <c r="Q730" i="1"/>
  <c r="U730" i="1" s="1"/>
  <c r="O732" i="1" l="1"/>
  <c r="Q731" i="1"/>
  <c r="U731" i="1" l="1"/>
  <c r="O733" i="1"/>
  <c r="Q732" i="1"/>
  <c r="U732" i="1" l="1"/>
  <c r="O734" i="1"/>
  <c r="Q733" i="1"/>
  <c r="U733" i="1" s="1"/>
  <c r="O735" i="1" l="1"/>
  <c r="Q734" i="1"/>
  <c r="U734" i="1" s="1"/>
  <c r="O736" i="1" l="1"/>
  <c r="Q735" i="1"/>
  <c r="U735" i="1" l="1"/>
  <c r="O737" i="1"/>
  <c r="Q736" i="1"/>
  <c r="U736" i="1" s="1"/>
  <c r="O738" i="1" l="1"/>
  <c r="Q737" i="1"/>
  <c r="U737" i="1" s="1"/>
  <c r="O739" i="1" l="1"/>
  <c r="Q738" i="1"/>
  <c r="U738" i="1" s="1"/>
  <c r="O740" i="1" l="1"/>
  <c r="Q739" i="1"/>
  <c r="U739" i="1" s="1"/>
  <c r="O741" i="1" l="1"/>
  <c r="Q740" i="1"/>
  <c r="U740" i="1" s="1"/>
  <c r="O742" i="1" l="1"/>
  <c r="Q741" i="1"/>
  <c r="U741" i="1" s="1"/>
  <c r="O743" i="1" l="1"/>
  <c r="Q742" i="1"/>
  <c r="U742" i="1" s="1"/>
  <c r="O744" i="1" l="1"/>
  <c r="Q743" i="1"/>
  <c r="U743" i="1" s="1"/>
  <c r="O745" i="1" l="1"/>
  <c r="Q744" i="1"/>
  <c r="U744" i="1" s="1"/>
  <c r="O746" i="1" l="1"/>
  <c r="Q745" i="1"/>
  <c r="U745" i="1" s="1"/>
  <c r="O747" i="1" l="1"/>
  <c r="Q746" i="1"/>
  <c r="U746" i="1" s="1"/>
  <c r="O748" i="1" l="1"/>
  <c r="Q747" i="1"/>
  <c r="U747" i="1" s="1"/>
  <c r="O749" i="1" l="1"/>
  <c r="Q748" i="1"/>
  <c r="U748" i="1" s="1"/>
  <c r="O750" i="1" l="1"/>
  <c r="Q749" i="1"/>
  <c r="U749" i="1" s="1"/>
  <c r="O751" i="1" l="1"/>
  <c r="Q750" i="1"/>
  <c r="U750" i="1" s="1"/>
  <c r="O752" i="1" l="1"/>
  <c r="Q751" i="1"/>
  <c r="U751" i="1" s="1"/>
  <c r="O753" i="1" l="1"/>
  <c r="Q752" i="1"/>
  <c r="U752" i="1" s="1"/>
  <c r="O754" i="1" l="1"/>
  <c r="Q753" i="1"/>
  <c r="U753" i="1" s="1"/>
  <c r="O755" i="1" l="1"/>
  <c r="Q754" i="1"/>
  <c r="U754" i="1" s="1"/>
  <c r="O756" i="1" l="1"/>
  <c r="Q755" i="1"/>
  <c r="U755" i="1" s="1"/>
  <c r="O757" i="1" l="1"/>
  <c r="Q756" i="1"/>
  <c r="U756" i="1" s="1"/>
  <c r="O758" i="1" l="1"/>
  <c r="Q757" i="1"/>
  <c r="U757" i="1" s="1"/>
  <c r="O759" i="1" l="1"/>
  <c r="Q758" i="1"/>
  <c r="U758" i="1" s="1"/>
  <c r="O760" i="1" l="1"/>
  <c r="Q759" i="1"/>
  <c r="U759" i="1" s="1"/>
  <c r="O761" i="1" l="1"/>
  <c r="Q760" i="1"/>
  <c r="U760" i="1" l="1"/>
  <c r="O762" i="1"/>
  <c r="Q761" i="1"/>
  <c r="U761" i="1" s="1"/>
  <c r="O763" i="1" l="1"/>
  <c r="Q762" i="1"/>
  <c r="U762" i="1" s="1"/>
  <c r="O764" i="1" l="1"/>
  <c r="Q763" i="1"/>
  <c r="U763" i="1" s="1"/>
  <c r="O765" i="1" l="1"/>
  <c r="Q764" i="1"/>
  <c r="U764" i="1" s="1"/>
  <c r="O766" i="1" l="1"/>
  <c r="Q765" i="1"/>
  <c r="U765" i="1" s="1"/>
  <c r="O767" i="1" l="1"/>
  <c r="Q766" i="1"/>
  <c r="U766" i="1" s="1"/>
  <c r="O768" i="1" l="1"/>
  <c r="Q767" i="1"/>
  <c r="U767" i="1" l="1"/>
  <c r="O769" i="1"/>
  <c r="Q768" i="1"/>
  <c r="O770" i="1" l="1"/>
  <c r="Q769" i="1"/>
  <c r="U768" i="1"/>
  <c r="U769" i="1" l="1"/>
  <c r="O771" i="1"/>
  <c r="Q770" i="1"/>
  <c r="U770" i="1" l="1"/>
  <c r="O772" i="1"/>
  <c r="Q771" i="1"/>
  <c r="U771" i="1" s="1"/>
  <c r="O773" i="1" l="1"/>
  <c r="Q772" i="1"/>
  <c r="U772" i="1" s="1"/>
  <c r="O774" i="1" l="1"/>
  <c r="Q773" i="1"/>
  <c r="U773" i="1" s="1"/>
  <c r="O775" i="1" l="1"/>
  <c r="Q774" i="1"/>
  <c r="U774" i="1" l="1"/>
  <c r="O776" i="1"/>
  <c r="Q775" i="1"/>
  <c r="U775" i="1" s="1"/>
  <c r="O777" i="1" l="1"/>
  <c r="Q776" i="1"/>
  <c r="U776" i="1" l="1"/>
  <c r="O778" i="1"/>
  <c r="Q777" i="1"/>
  <c r="U777" i="1" s="1"/>
  <c r="O779" i="1" l="1"/>
  <c r="Q778" i="1"/>
  <c r="U778" i="1" l="1"/>
  <c r="O780" i="1"/>
  <c r="Q779" i="1"/>
  <c r="U779" i="1" s="1"/>
  <c r="O781" i="1" l="1"/>
  <c r="Q780" i="1"/>
  <c r="U780" i="1" l="1"/>
  <c r="O782" i="1"/>
  <c r="Q781" i="1"/>
  <c r="U781" i="1" s="1"/>
  <c r="O783" i="1" l="1"/>
  <c r="Q782" i="1"/>
  <c r="U782" i="1" l="1"/>
  <c r="O784" i="1"/>
  <c r="Q783" i="1"/>
  <c r="U783" i="1" s="1"/>
  <c r="O785" i="1" l="1"/>
  <c r="Q784" i="1"/>
  <c r="U784" i="1" s="1"/>
  <c r="O786" i="1" l="1"/>
  <c r="Q785" i="1"/>
  <c r="U785" i="1" l="1"/>
  <c r="O787" i="1"/>
  <c r="Q786" i="1"/>
  <c r="U786" i="1" s="1"/>
  <c r="O788" i="1" l="1"/>
  <c r="Q787" i="1"/>
  <c r="U787" i="1" s="1"/>
  <c r="O789" i="1" l="1"/>
  <c r="Q788" i="1"/>
  <c r="U788" i="1" l="1"/>
  <c r="O790" i="1"/>
  <c r="Q789" i="1"/>
  <c r="O791" i="1" l="1"/>
  <c r="Q790" i="1"/>
  <c r="U789" i="1"/>
  <c r="U790" i="1" l="1"/>
  <c r="O792" i="1"/>
  <c r="Q791" i="1"/>
  <c r="U791" i="1" s="1"/>
  <c r="O793" i="1" l="1"/>
  <c r="Q792" i="1"/>
  <c r="U792" i="1" s="1"/>
  <c r="O794" i="1" l="1"/>
  <c r="Q793" i="1"/>
  <c r="U793" i="1" l="1"/>
  <c r="O795" i="1"/>
  <c r="Q794" i="1"/>
  <c r="U794" i="1" l="1"/>
  <c r="O796" i="1"/>
  <c r="Q795" i="1"/>
  <c r="U795" i="1" l="1"/>
  <c r="O797" i="1"/>
  <c r="Q796" i="1"/>
  <c r="U796" i="1" l="1"/>
  <c r="O798" i="1"/>
  <c r="Q797" i="1"/>
  <c r="U797" i="1" l="1"/>
  <c r="O799" i="1"/>
  <c r="Q798" i="1"/>
  <c r="U798" i="1" s="1"/>
  <c r="O800" i="1" l="1"/>
  <c r="Q799" i="1"/>
  <c r="U799" i="1" l="1"/>
  <c r="O801" i="1"/>
  <c r="Q800" i="1"/>
  <c r="U800" i="1" l="1"/>
  <c r="O802" i="1"/>
  <c r="Q801" i="1"/>
  <c r="U801" i="1" l="1"/>
  <c r="O803" i="1"/>
  <c r="Q802" i="1"/>
  <c r="U802" i="1" s="1"/>
  <c r="O804" i="1" l="1"/>
  <c r="Q803" i="1"/>
  <c r="U803" i="1" s="1"/>
  <c r="O805" i="1" l="1"/>
  <c r="Q804" i="1"/>
  <c r="U804" i="1" l="1"/>
  <c r="O806" i="1"/>
  <c r="Q805" i="1"/>
  <c r="U805" i="1" s="1"/>
  <c r="O807" i="1" l="1"/>
  <c r="Q806" i="1"/>
  <c r="U806" i="1" s="1"/>
  <c r="O808" i="1" l="1"/>
  <c r="Q807" i="1"/>
  <c r="U807" i="1" l="1"/>
  <c r="O809" i="1"/>
  <c r="Q808" i="1"/>
  <c r="U808" i="1" s="1"/>
  <c r="O810" i="1" l="1"/>
  <c r="Q809" i="1"/>
  <c r="U809" i="1" s="1"/>
  <c r="O811" i="1" l="1"/>
  <c r="Q810" i="1"/>
  <c r="U810" i="1" s="1"/>
  <c r="O812" i="1" l="1"/>
  <c r="Q811" i="1"/>
  <c r="U811" i="1" s="1"/>
  <c r="O813" i="1" l="1"/>
  <c r="Q812" i="1"/>
  <c r="U812" i="1" l="1"/>
  <c r="O814" i="1"/>
  <c r="Q813" i="1"/>
  <c r="U813" i="1" s="1"/>
  <c r="O815" i="1" l="1"/>
  <c r="Q814" i="1"/>
  <c r="U814" i="1" s="1"/>
  <c r="O816" i="1" l="1"/>
  <c r="Q815" i="1"/>
  <c r="U815" i="1" s="1"/>
  <c r="O817" i="1" l="1"/>
  <c r="Q816" i="1"/>
  <c r="U816" i="1" s="1"/>
  <c r="O818" i="1" l="1"/>
  <c r="Q817" i="1"/>
  <c r="U817" i="1" s="1"/>
  <c r="O819" i="1" l="1"/>
  <c r="Q818" i="1"/>
  <c r="U818" i="1" s="1"/>
  <c r="O820" i="1" l="1"/>
  <c r="Q819" i="1"/>
  <c r="U819" i="1" l="1"/>
  <c r="O821" i="1"/>
  <c r="Q820" i="1"/>
  <c r="U820" i="1" l="1"/>
  <c r="O822" i="1"/>
  <c r="Q821" i="1"/>
  <c r="U821" i="1" s="1"/>
  <c r="O823" i="1" l="1"/>
  <c r="Q822" i="1"/>
  <c r="U822" i="1" l="1"/>
  <c r="O824" i="1"/>
  <c r="Q823" i="1"/>
  <c r="U823" i="1" s="1"/>
  <c r="O825" i="1" l="1"/>
  <c r="Q824" i="1"/>
  <c r="U824" i="1" l="1"/>
  <c r="O826" i="1"/>
  <c r="Q825" i="1"/>
  <c r="U825" i="1" s="1"/>
  <c r="O827" i="1" l="1"/>
  <c r="Q826" i="1"/>
  <c r="U826" i="1" s="1"/>
  <c r="O828" i="1" l="1"/>
  <c r="Q827" i="1"/>
  <c r="U827" i="1" s="1"/>
  <c r="O829" i="1" l="1"/>
  <c r="Q828" i="1"/>
  <c r="U828" i="1" s="1"/>
  <c r="O830" i="1" l="1"/>
  <c r="Q829" i="1"/>
  <c r="U829" i="1" s="1"/>
  <c r="O831" i="1" l="1"/>
  <c r="Q830" i="1"/>
  <c r="U830" i="1" s="1"/>
  <c r="O832" i="1" l="1"/>
  <c r="Q831" i="1"/>
  <c r="U831" i="1" s="1"/>
  <c r="O833" i="1" l="1"/>
  <c r="Q832" i="1"/>
  <c r="U832" i="1" s="1"/>
  <c r="O834" i="1" l="1"/>
  <c r="Q833" i="1"/>
  <c r="U833" i="1" s="1"/>
  <c r="O835" i="1" l="1"/>
  <c r="Q834" i="1"/>
  <c r="U834" i="1" s="1"/>
  <c r="O836" i="1" l="1"/>
  <c r="Q835" i="1"/>
  <c r="U835" i="1" s="1"/>
  <c r="O837" i="1" l="1"/>
  <c r="Q836" i="1"/>
  <c r="U836" i="1" l="1"/>
  <c r="O838" i="1"/>
  <c r="Q837" i="1"/>
  <c r="U837" i="1" s="1"/>
  <c r="O839" i="1" l="1"/>
  <c r="Q838" i="1"/>
  <c r="U838" i="1" s="1"/>
  <c r="O840" i="1" l="1"/>
  <c r="Q839" i="1"/>
  <c r="U839" i="1" s="1"/>
  <c r="O841" i="1" l="1"/>
  <c r="Q840" i="1"/>
  <c r="U840" i="1" s="1"/>
  <c r="O842" i="1" l="1"/>
  <c r="Q841" i="1"/>
  <c r="U841" i="1" s="1"/>
  <c r="O843" i="1" l="1"/>
  <c r="Q842" i="1"/>
  <c r="U842" i="1" s="1"/>
  <c r="O844" i="1" l="1"/>
  <c r="Q843" i="1"/>
  <c r="U843" i="1" l="1"/>
  <c r="O845" i="1"/>
  <c r="Q844" i="1"/>
  <c r="U844" i="1" s="1"/>
  <c r="O846" i="1" l="1"/>
  <c r="Q845" i="1"/>
  <c r="U845" i="1" l="1"/>
  <c r="O847" i="1"/>
  <c r="Q846" i="1"/>
  <c r="U846" i="1" s="1"/>
  <c r="O848" i="1" l="1"/>
  <c r="Q847" i="1"/>
  <c r="U847" i="1" l="1"/>
  <c r="O849" i="1"/>
  <c r="Q848" i="1"/>
  <c r="U848" i="1" s="1"/>
  <c r="O850" i="1" l="1"/>
  <c r="Q849" i="1"/>
  <c r="U849" i="1" s="1"/>
  <c r="O851" i="1" l="1"/>
  <c r="Q850" i="1"/>
  <c r="U850" i="1" l="1"/>
  <c r="O852" i="1"/>
  <c r="Q851" i="1"/>
  <c r="U851" i="1" l="1"/>
  <c r="O853" i="1"/>
  <c r="Q852" i="1"/>
  <c r="U852" i="1" s="1"/>
  <c r="O854" i="1" l="1"/>
  <c r="Q853" i="1"/>
  <c r="U853" i="1" s="1"/>
  <c r="O855" i="1" l="1"/>
  <c r="Q854" i="1"/>
  <c r="U854" i="1" s="1"/>
  <c r="O856" i="1" l="1"/>
  <c r="Q855" i="1"/>
  <c r="U855" i="1" s="1"/>
  <c r="O857" i="1" l="1"/>
  <c r="Q856" i="1"/>
  <c r="U856" i="1" s="1"/>
  <c r="O858" i="1" l="1"/>
  <c r="Q857" i="1"/>
  <c r="U857" i="1" s="1"/>
  <c r="O859" i="1" l="1"/>
  <c r="Q858" i="1"/>
  <c r="U858" i="1" l="1"/>
  <c r="O860" i="1"/>
  <c r="Q859" i="1"/>
  <c r="U859" i="1" s="1"/>
  <c r="O861" i="1" l="1"/>
  <c r="Q860" i="1"/>
  <c r="U860" i="1" s="1"/>
  <c r="O862" i="1" l="1"/>
  <c r="Q861" i="1"/>
  <c r="U861" i="1" s="1"/>
  <c r="O863" i="1" l="1"/>
  <c r="Q862" i="1"/>
  <c r="U862" i="1" s="1"/>
  <c r="O864" i="1" l="1"/>
  <c r="Q863" i="1"/>
  <c r="U863" i="1" s="1"/>
  <c r="O865" i="1" l="1"/>
  <c r="Q864" i="1"/>
  <c r="U864" i="1" s="1"/>
  <c r="O866" i="1" l="1"/>
  <c r="Q865" i="1"/>
  <c r="U865" i="1" s="1"/>
  <c r="O867" i="1" l="1"/>
  <c r="Q866" i="1"/>
  <c r="U866" i="1" l="1"/>
  <c r="O868" i="1"/>
  <c r="Q867" i="1"/>
  <c r="U867" i="1" s="1"/>
  <c r="O869" i="1" l="1"/>
  <c r="Q868" i="1"/>
  <c r="U868" i="1" l="1"/>
  <c r="O870" i="1"/>
  <c r="Q869" i="1"/>
  <c r="U869" i="1" l="1"/>
  <c r="O871" i="1"/>
  <c r="Q870" i="1"/>
  <c r="U870" i="1" s="1"/>
  <c r="O872" i="1" l="1"/>
  <c r="Q871" i="1"/>
  <c r="U871" i="1" s="1"/>
  <c r="O873" i="1" l="1"/>
  <c r="Q872" i="1"/>
  <c r="U872" i="1" s="1"/>
  <c r="O874" i="1" l="1"/>
  <c r="Q873" i="1"/>
  <c r="U873" i="1" l="1"/>
  <c r="O875" i="1"/>
  <c r="Q874" i="1"/>
  <c r="U874" i="1" l="1"/>
  <c r="O876" i="1"/>
  <c r="Q875" i="1"/>
  <c r="U875" i="1" l="1"/>
  <c r="O877" i="1"/>
  <c r="Q876" i="1"/>
  <c r="U876" i="1" s="1"/>
  <c r="O878" i="1" l="1"/>
  <c r="Q877" i="1"/>
  <c r="U877" i="1" s="1"/>
  <c r="O879" i="1" l="1"/>
  <c r="Q878" i="1"/>
  <c r="U878" i="1" l="1"/>
  <c r="O880" i="1"/>
  <c r="Q879" i="1"/>
  <c r="U879" i="1" s="1"/>
  <c r="O881" i="1" l="1"/>
  <c r="Q880" i="1"/>
  <c r="U880" i="1" s="1"/>
  <c r="O882" i="1" l="1"/>
  <c r="Q881" i="1"/>
  <c r="U881" i="1" s="1"/>
  <c r="O883" i="1" l="1"/>
  <c r="Q882" i="1"/>
  <c r="U882" i="1" s="1"/>
  <c r="O884" i="1" l="1"/>
  <c r="Q883" i="1"/>
  <c r="U883" i="1" l="1"/>
  <c r="O885" i="1"/>
  <c r="Q884" i="1"/>
  <c r="U884" i="1" s="1"/>
  <c r="O886" i="1" l="1"/>
  <c r="Q885" i="1"/>
  <c r="U885" i="1" s="1"/>
  <c r="O887" i="1" l="1"/>
  <c r="Q886" i="1"/>
  <c r="U886" i="1" s="1"/>
  <c r="O888" i="1" l="1"/>
  <c r="Q887" i="1"/>
  <c r="U887" i="1" s="1"/>
  <c r="O889" i="1" l="1"/>
  <c r="Q888" i="1"/>
  <c r="U888" i="1" s="1"/>
  <c r="O890" i="1" l="1"/>
  <c r="Q889" i="1"/>
  <c r="U889" i="1" s="1"/>
  <c r="O891" i="1" l="1"/>
  <c r="Q890" i="1"/>
  <c r="U890" i="1" s="1"/>
  <c r="O892" i="1" l="1"/>
  <c r="Q891" i="1"/>
  <c r="U891" i="1" s="1"/>
  <c r="O893" i="1" l="1"/>
  <c r="Q892" i="1"/>
  <c r="U892" i="1" s="1"/>
  <c r="O894" i="1" l="1"/>
  <c r="Q893" i="1"/>
  <c r="U893" i="1" s="1"/>
  <c r="O895" i="1" l="1"/>
  <c r="Q894" i="1"/>
  <c r="U894" i="1" s="1"/>
  <c r="O896" i="1" l="1"/>
  <c r="Q895" i="1"/>
  <c r="U895" i="1" s="1"/>
  <c r="O897" i="1" l="1"/>
  <c r="Q896" i="1"/>
  <c r="U896" i="1" l="1"/>
  <c r="O898" i="1"/>
  <c r="Q897" i="1"/>
  <c r="U897" i="1" s="1"/>
  <c r="O899" i="1" l="1"/>
  <c r="Q898" i="1"/>
  <c r="U898" i="1" s="1"/>
  <c r="O900" i="1" l="1"/>
  <c r="Q899" i="1"/>
  <c r="U899" i="1" s="1"/>
  <c r="O901" i="1" l="1"/>
  <c r="Q900" i="1"/>
  <c r="U900" i="1" s="1"/>
  <c r="O902" i="1" l="1"/>
  <c r="Q901" i="1"/>
  <c r="U901" i="1" s="1"/>
  <c r="O903" i="1" l="1"/>
  <c r="Q902" i="1"/>
  <c r="U902" i="1" s="1"/>
  <c r="O904" i="1" l="1"/>
  <c r="Q903" i="1"/>
  <c r="U903" i="1" l="1"/>
  <c r="O905" i="1"/>
  <c r="Q904" i="1"/>
  <c r="U904" i="1" s="1"/>
  <c r="O906" i="1" l="1"/>
  <c r="Q905" i="1"/>
  <c r="U905" i="1" l="1"/>
  <c r="O907" i="1"/>
  <c r="Q906" i="1"/>
  <c r="U906" i="1" s="1"/>
  <c r="O908" i="1" l="1"/>
  <c r="Q907" i="1"/>
  <c r="U907" i="1" s="1"/>
  <c r="O909" i="1" l="1"/>
  <c r="Q908" i="1"/>
  <c r="U908" i="1" s="1"/>
  <c r="O910" i="1" l="1"/>
  <c r="Q909" i="1"/>
  <c r="U909" i="1" s="1"/>
  <c r="O911" i="1" l="1"/>
  <c r="Q910" i="1"/>
  <c r="U910" i="1" s="1"/>
  <c r="O912" i="1" l="1"/>
  <c r="Q911" i="1"/>
  <c r="U911" i="1" s="1"/>
  <c r="O913" i="1" l="1"/>
  <c r="Q912" i="1"/>
  <c r="U912" i="1" s="1"/>
  <c r="O914" i="1" l="1"/>
  <c r="Q913" i="1"/>
  <c r="U913" i="1" l="1"/>
  <c r="O915" i="1"/>
  <c r="Q914" i="1"/>
  <c r="U914" i="1" s="1"/>
  <c r="O916" i="1" l="1"/>
  <c r="Q915" i="1"/>
  <c r="U915" i="1" l="1"/>
  <c r="O917" i="1"/>
  <c r="Q916" i="1"/>
  <c r="U916" i="1" s="1"/>
  <c r="O918" i="1" l="1"/>
  <c r="Q917" i="1"/>
  <c r="U917" i="1" s="1"/>
  <c r="O919" i="1" l="1"/>
  <c r="Q918" i="1"/>
  <c r="U918" i="1" s="1"/>
  <c r="O920" i="1" l="1"/>
  <c r="Q919" i="1"/>
  <c r="U919" i="1" s="1"/>
  <c r="O921" i="1" l="1"/>
  <c r="Q920" i="1"/>
  <c r="U920" i="1" s="1"/>
  <c r="O922" i="1" l="1"/>
  <c r="Q921" i="1"/>
  <c r="U921" i="1" s="1"/>
  <c r="O923" i="1" l="1"/>
  <c r="Q922" i="1"/>
  <c r="U922" i="1" l="1"/>
  <c r="O924" i="1"/>
  <c r="Q923" i="1"/>
  <c r="U923" i="1" s="1"/>
  <c r="O925" i="1" l="1"/>
  <c r="Q924" i="1"/>
  <c r="U924" i="1" s="1"/>
  <c r="O926" i="1" l="1"/>
  <c r="Q925" i="1"/>
  <c r="U925" i="1" s="1"/>
  <c r="O927" i="1" l="1"/>
  <c r="Q926" i="1"/>
  <c r="U926" i="1" l="1"/>
  <c r="O928" i="1"/>
  <c r="Q927" i="1"/>
  <c r="U927" i="1" s="1"/>
  <c r="O929" i="1" l="1"/>
  <c r="Q928" i="1"/>
  <c r="U928" i="1" s="1"/>
  <c r="O930" i="1" l="1"/>
  <c r="Q929" i="1"/>
  <c r="U929" i="1" l="1"/>
  <c r="O931" i="1"/>
  <c r="Q930" i="1"/>
  <c r="U930" i="1" l="1"/>
  <c r="O932" i="1"/>
  <c r="Q931" i="1"/>
  <c r="U931" i="1" s="1"/>
  <c r="O933" i="1" l="1"/>
  <c r="Q932" i="1"/>
  <c r="U932" i="1" s="1"/>
  <c r="O934" i="1" l="1"/>
  <c r="Q933" i="1"/>
  <c r="U933" i="1" s="1"/>
  <c r="O935" i="1" l="1"/>
  <c r="Q934" i="1"/>
  <c r="U934" i="1" l="1"/>
  <c r="O936" i="1"/>
  <c r="Q935" i="1"/>
  <c r="U935" i="1" s="1"/>
  <c r="O937" i="1" l="1"/>
  <c r="Q936" i="1"/>
  <c r="U936" i="1" l="1"/>
  <c r="O938" i="1"/>
  <c r="Q937" i="1"/>
  <c r="U937" i="1" s="1"/>
  <c r="O939" i="1" l="1"/>
  <c r="Q938" i="1"/>
  <c r="U938" i="1" s="1"/>
  <c r="O940" i="1" l="1"/>
  <c r="Q939" i="1"/>
  <c r="U939" i="1" s="1"/>
  <c r="O941" i="1" l="1"/>
  <c r="Q940" i="1"/>
  <c r="U940" i="1" l="1"/>
  <c r="O942" i="1"/>
  <c r="Q941" i="1"/>
  <c r="U941" i="1" l="1"/>
  <c r="O943" i="1"/>
  <c r="Q942" i="1"/>
  <c r="U942" i="1" s="1"/>
  <c r="O944" i="1" l="1"/>
  <c r="Q943" i="1"/>
  <c r="U943" i="1" s="1"/>
  <c r="O945" i="1" l="1"/>
  <c r="Q944" i="1"/>
  <c r="U944" i="1" s="1"/>
  <c r="O946" i="1" l="1"/>
  <c r="Q945" i="1"/>
  <c r="U945" i="1" s="1"/>
  <c r="O947" i="1" l="1"/>
  <c r="Q946" i="1"/>
  <c r="U946" i="1" l="1"/>
  <c r="O948" i="1"/>
  <c r="Q947" i="1"/>
  <c r="U947" i="1" s="1"/>
  <c r="O949" i="1" l="1"/>
  <c r="Q948" i="1"/>
  <c r="U948" i="1" s="1"/>
  <c r="O950" i="1" l="1"/>
  <c r="Q949" i="1"/>
  <c r="U949" i="1" s="1"/>
  <c r="O951" i="1" l="1"/>
  <c r="Q950" i="1"/>
  <c r="U950" i="1" l="1"/>
  <c r="O952" i="1"/>
  <c r="Q951" i="1"/>
  <c r="U951" i="1" s="1"/>
  <c r="O953" i="1" l="1"/>
  <c r="Q952" i="1"/>
  <c r="U952" i="1" l="1"/>
  <c r="O954" i="1"/>
  <c r="Q953" i="1"/>
  <c r="U953" i="1" s="1"/>
  <c r="O955" i="1" l="1"/>
  <c r="Q954" i="1"/>
  <c r="U954" i="1" l="1"/>
  <c r="O956" i="1"/>
  <c r="Q955" i="1"/>
  <c r="U955" i="1" l="1"/>
  <c r="O957" i="1"/>
  <c r="Q956" i="1"/>
  <c r="U956" i="1" s="1"/>
  <c r="O958" i="1" l="1"/>
  <c r="Q957" i="1"/>
  <c r="U957" i="1" l="1"/>
  <c r="O959" i="1"/>
  <c r="Q958" i="1"/>
  <c r="O960" i="1" l="1"/>
  <c r="Q959" i="1"/>
  <c r="U959" i="1" s="1"/>
  <c r="U958" i="1"/>
  <c r="O961" i="1" l="1"/>
  <c r="Q960" i="1"/>
  <c r="U960" i="1" l="1"/>
  <c r="O962" i="1"/>
  <c r="Q961" i="1"/>
  <c r="U961" i="1" s="1"/>
  <c r="O963" i="1" l="1"/>
  <c r="Q962" i="1"/>
  <c r="U962" i="1" l="1"/>
  <c r="O964" i="1"/>
  <c r="Q963" i="1"/>
  <c r="U963" i="1" s="1"/>
  <c r="O965" i="1" l="1"/>
  <c r="Q964" i="1"/>
  <c r="U964" i="1" s="1"/>
  <c r="O966" i="1" l="1"/>
  <c r="Q965" i="1"/>
  <c r="U965" i="1" l="1"/>
  <c r="O967" i="1"/>
  <c r="Q966" i="1"/>
  <c r="U966" i="1" s="1"/>
  <c r="O968" i="1" l="1"/>
  <c r="Q967" i="1"/>
  <c r="U967" i="1" s="1"/>
  <c r="O969" i="1" l="1"/>
  <c r="Q968" i="1"/>
  <c r="U968" i="1" s="1"/>
  <c r="O970" i="1" l="1"/>
  <c r="Q969" i="1"/>
  <c r="U969" i="1" l="1"/>
  <c r="O971" i="1"/>
  <c r="Q970" i="1"/>
  <c r="U970" i="1" s="1"/>
  <c r="O972" i="1" l="1"/>
  <c r="Q971" i="1"/>
  <c r="U971" i="1" l="1"/>
  <c r="O973" i="1"/>
  <c r="Q972" i="1"/>
  <c r="U972" i="1" s="1"/>
  <c r="O974" i="1" l="1"/>
  <c r="Q973" i="1"/>
  <c r="U973" i="1" l="1"/>
  <c r="O975" i="1"/>
  <c r="Q974" i="1"/>
  <c r="U974" i="1" s="1"/>
  <c r="O976" i="1" l="1"/>
  <c r="Q975" i="1"/>
  <c r="U975" i="1" l="1"/>
  <c r="O977" i="1"/>
  <c r="Q976" i="1"/>
  <c r="U976" i="1" s="1"/>
  <c r="O978" i="1" l="1"/>
  <c r="Q977" i="1"/>
  <c r="U977" i="1" s="1"/>
  <c r="O979" i="1" l="1"/>
  <c r="Q978" i="1"/>
  <c r="U978" i="1" l="1"/>
  <c r="O980" i="1"/>
  <c r="Q979" i="1"/>
  <c r="U979" i="1" s="1"/>
  <c r="O981" i="1" l="1"/>
  <c r="Q980" i="1"/>
  <c r="U980" i="1" s="1"/>
  <c r="O982" i="1" l="1"/>
  <c r="Q981" i="1"/>
  <c r="U981" i="1" l="1"/>
  <c r="O983" i="1"/>
  <c r="Q982" i="1"/>
  <c r="U982" i="1" s="1"/>
  <c r="O984" i="1" l="1"/>
  <c r="Q983" i="1"/>
  <c r="U983" i="1" s="1"/>
  <c r="O985" i="1" l="1"/>
  <c r="Q984" i="1"/>
  <c r="U984" i="1" s="1"/>
  <c r="O986" i="1" l="1"/>
  <c r="Q985" i="1"/>
  <c r="U985" i="1" s="1"/>
  <c r="O987" i="1" l="1"/>
  <c r="Q986" i="1"/>
  <c r="U986" i="1" s="1"/>
  <c r="O988" i="1" l="1"/>
  <c r="Q987" i="1"/>
  <c r="U987" i="1" l="1"/>
  <c r="O989" i="1"/>
  <c r="Q988" i="1"/>
  <c r="U988" i="1" l="1"/>
  <c r="O990" i="1"/>
  <c r="Q989" i="1"/>
  <c r="U989" i="1" s="1"/>
  <c r="O991" i="1" l="1"/>
  <c r="Q990" i="1"/>
  <c r="U990" i="1" s="1"/>
  <c r="O992" i="1" l="1"/>
  <c r="Q991" i="1"/>
  <c r="U991" i="1" s="1"/>
  <c r="O993" i="1" l="1"/>
  <c r="Q992" i="1"/>
  <c r="U992" i="1" s="1"/>
  <c r="O994" i="1" l="1"/>
  <c r="Q993" i="1"/>
  <c r="U993" i="1" s="1"/>
  <c r="O995" i="1" l="1"/>
  <c r="Q994" i="1"/>
  <c r="U994" i="1" s="1"/>
  <c r="O996" i="1" l="1"/>
  <c r="Q995" i="1"/>
  <c r="U995" i="1" l="1"/>
  <c r="O997" i="1"/>
  <c r="Q996" i="1"/>
  <c r="U996" i="1" s="1"/>
  <c r="O998" i="1" l="1"/>
  <c r="Q997" i="1"/>
  <c r="U997" i="1" s="1"/>
  <c r="O999" i="1" l="1"/>
  <c r="Q998" i="1"/>
  <c r="U998" i="1" l="1"/>
  <c r="O1000" i="1"/>
  <c r="Q999" i="1"/>
  <c r="U999" i="1" s="1"/>
  <c r="O1001" i="1" l="1"/>
  <c r="Q1000" i="1"/>
  <c r="U1000" i="1" l="1"/>
  <c r="O1002" i="1"/>
  <c r="Q1001" i="1"/>
  <c r="U1001" i="1" s="1"/>
  <c r="O1003" i="1" l="1"/>
  <c r="Q1002" i="1"/>
  <c r="U1002" i="1" l="1"/>
  <c r="O1004" i="1"/>
  <c r="Q1003" i="1"/>
  <c r="U1003" i="1" s="1"/>
  <c r="O1005" i="1" l="1"/>
  <c r="Q1004" i="1"/>
  <c r="U1004" i="1" s="1"/>
  <c r="O1006" i="1" l="1"/>
  <c r="Q1005" i="1"/>
  <c r="U1005" i="1" s="1"/>
  <c r="O1007" i="1" l="1"/>
  <c r="Q1006" i="1"/>
  <c r="U1006" i="1" s="1"/>
  <c r="O1008" i="1" l="1"/>
  <c r="Q1007" i="1"/>
  <c r="U1007" i="1" s="1"/>
  <c r="O1009" i="1" l="1"/>
  <c r="Q1008" i="1"/>
  <c r="U1008" i="1" s="1"/>
  <c r="O1010" i="1" l="1"/>
  <c r="Q1009" i="1"/>
  <c r="U1009" i="1" l="1"/>
  <c r="O1011" i="1"/>
  <c r="Q1010" i="1"/>
  <c r="U1010" i="1" s="1"/>
  <c r="O1012" i="1" l="1"/>
  <c r="Q1011" i="1"/>
  <c r="U1011" i="1" s="1"/>
  <c r="O1013" i="1" l="1"/>
  <c r="Q1012" i="1"/>
  <c r="U1012" i="1" s="1"/>
  <c r="O1014" i="1" l="1"/>
  <c r="Q1013" i="1"/>
  <c r="U1013" i="1" s="1"/>
  <c r="O1015" i="1" l="1"/>
  <c r="Q1014" i="1"/>
  <c r="U1014" i="1" l="1"/>
  <c r="O1016" i="1"/>
  <c r="Q1015" i="1"/>
  <c r="U1015" i="1" s="1"/>
  <c r="O1017" i="1" l="1"/>
  <c r="Q1016" i="1"/>
  <c r="U1016" i="1" s="1"/>
  <c r="O1018" i="1" l="1"/>
  <c r="Q1017" i="1"/>
  <c r="U1017" i="1" l="1"/>
  <c r="O1019" i="1"/>
  <c r="Q1018" i="1"/>
  <c r="O1020" i="1" l="1"/>
  <c r="Q1019" i="1"/>
  <c r="U1018" i="1"/>
  <c r="U1019" i="1" l="1"/>
  <c r="O1021" i="1"/>
  <c r="Q1020" i="1"/>
  <c r="U1020" i="1" s="1"/>
  <c r="O1022" i="1" l="1"/>
  <c r="Q1021" i="1"/>
  <c r="U1021" i="1" s="1"/>
  <c r="O1023" i="1" l="1"/>
  <c r="Q1022" i="1"/>
  <c r="U1022" i="1" s="1"/>
  <c r="O1024" i="1" l="1"/>
  <c r="Q1023" i="1"/>
  <c r="U1023" i="1" s="1"/>
  <c r="O1025" i="1" l="1"/>
  <c r="Q1024" i="1"/>
  <c r="U1024" i="1" s="1"/>
  <c r="O1026" i="1" l="1"/>
  <c r="Q1025" i="1"/>
  <c r="U1025" i="1" s="1"/>
  <c r="O1027" i="1" l="1"/>
  <c r="Q1026" i="1"/>
  <c r="U1026" i="1" s="1"/>
  <c r="O1028" i="1" l="1"/>
  <c r="Q1027" i="1"/>
  <c r="U1027" i="1" s="1"/>
  <c r="O1029" i="1" l="1"/>
  <c r="Q1028" i="1"/>
  <c r="U1028" i="1" s="1"/>
  <c r="O1030" i="1" l="1"/>
  <c r="Q1029" i="1"/>
  <c r="U1029" i="1" s="1"/>
  <c r="O1031" i="1" l="1"/>
  <c r="Q1030" i="1"/>
  <c r="U1030" i="1" s="1"/>
  <c r="O1032" i="1" l="1"/>
  <c r="Q1031" i="1"/>
  <c r="U1031" i="1" s="1"/>
  <c r="O1033" i="1" l="1"/>
  <c r="Q1032" i="1"/>
  <c r="U1032" i="1" s="1"/>
  <c r="O1034" i="1" l="1"/>
  <c r="Q1033" i="1"/>
  <c r="U1033" i="1" s="1"/>
  <c r="O1035" i="1" l="1"/>
  <c r="Q1034" i="1"/>
  <c r="U1034" i="1" s="1"/>
  <c r="O1036" i="1" l="1"/>
  <c r="Q1035" i="1"/>
  <c r="U1035" i="1" s="1"/>
  <c r="O1037" i="1" l="1"/>
  <c r="Q1036" i="1"/>
  <c r="U1036" i="1" s="1"/>
  <c r="O1038" i="1" l="1"/>
  <c r="Q1037" i="1"/>
  <c r="U1037" i="1" s="1"/>
  <c r="O1039" i="1" l="1"/>
  <c r="Q1038" i="1"/>
  <c r="U1038" i="1" s="1"/>
  <c r="O1040" i="1" l="1"/>
  <c r="Q1039" i="1"/>
  <c r="U1039" i="1" s="1"/>
  <c r="O1041" i="1" l="1"/>
  <c r="Q1040" i="1"/>
  <c r="U1040" i="1" s="1"/>
  <c r="O1042" i="1" l="1"/>
  <c r="Q1041" i="1"/>
  <c r="U1041" i="1" l="1"/>
  <c r="O1043" i="1"/>
  <c r="Q1042" i="1"/>
  <c r="U1042" i="1" s="1"/>
  <c r="O1044" i="1" l="1"/>
  <c r="Q1043" i="1"/>
  <c r="U1043" i="1" s="1"/>
  <c r="O1045" i="1" l="1"/>
  <c r="Q1044" i="1"/>
  <c r="U1044" i="1" s="1"/>
  <c r="O1046" i="1" l="1"/>
  <c r="Q1045" i="1"/>
  <c r="U1045" i="1" s="1"/>
  <c r="O1047" i="1" l="1"/>
  <c r="Q1046" i="1"/>
  <c r="U1046" i="1" s="1"/>
  <c r="O1048" i="1" l="1"/>
  <c r="Q1047" i="1"/>
  <c r="U1047" i="1" s="1"/>
  <c r="O1049" i="1" l="1"/>
  <c r="Q1048" i="1"/>
  <c r="U1048" i="1" s="1"/>
  <c r="O1050" i="1" l="1"/>
  <c r="Q1049" i="1"/>
  <c r="U1049" i="1" s="1"/>
  <c r="O1051" i="1" l="1"/>
  <c r="Q1050" i="1"/>
  <c r="U1050" i="1" s="1"/>
  <c r="O1052" i="1" l="1"/>
  <c r="Q1051" i="1"/>
  <c r="U1051" i="1" s="1"/>
  <c r="O1053" i="1" l="1"/>
  <c r="Q1052" i="1"/>
  <c r="U1052" i="1" s="1"/>
  <c r="O1054" i="1" l="1"/>
  <c r="Q1053" i="1"/>
  <c r="U1053" i="1" s="1"/>
  <c r="O1055" i="1" l="1"/>
  <c r="Q1054" i="1"/>
  <c r="U1054" i="1" s="1"/>
  <c r="O1056" i="1" l="1"/>
  <c r="Q1055" i="1"/>
  <c r="U1055" i="1" s="1"/>
  <c r="O1057" i="1" l="1"/>
  <c r="Q1056" i="1"/>
  <c r="U1056" i="1" s="1"/>
  <c r="O1058" i="1" l="1"/>
  <c r="Q1057" i="1"/>
  <c r="U1057" i="1" l="1"/>
  <c r="O1059" i="1"/>
  <c r="Q1058" i="1"/>
  <c r="U1058" i="1" s="1"/>
  <c r="O1060" i="1" l="1"/>
  <c r="U1059" i="1"/>
  <c r="Q1059" i="1"/>
  <c r="O1061" i="1" l="1"/>
  <c r="U1060" i="1"/>
  <c r="Q1060" i="1"/>
  <c r="O1062" i="1" l="1"/>
  <c r="U1061" i="1"/>
  <c r="Q1061" i="1"/>
  <c r="O1063" i="1" l="1"/>
  <c r="U1062" i="1"/>
  <c r="Q1062" i="1"/>
  <c r="O1064" i="1" l="1"/>
  <c r="U1063" i="1"/>
  <c r="Q1063" i="1"/>
  <c r="O1065" i="1" l="1"/>
  <c r="U1064" i="1"/>
  <c r="Q1064" i="1"/>
  <c r="O1066" i="1" l="1"/>
  <c r="U1065" i="1"/>
  <c r="Q1065" i="1"/>
  <c r="O1067" i="1" l="1"/>
  <c r="U1066" i="1"/>
  <c r="Q1066" i="1"/>
  <c r="O1068" i="1" l="1"/>
  <c r="U1067" i="1"/>
  <c r="Q1067" i="1"/>
  <c r="O1069" i="1" l="1"/>
  <c r="U1068" i="1"/>
  <c r="Q1068" i="1"/>
  <c r="O1070" i="1" l="1"/>
  <c r="U1069" i="1"/>
  <c r="Q1069" i="1"/>
  <c r="O1071" i="1" l="1"/>
  <c r="U1070" i="1"/>
  <c r="Q1070" i="1"/>
  <c r="O1072" i="1" l="1"/>
  <c r="U1071" i="1"/>
  <c r="Q1071" i="1"/>
  <c r="O1073" i="1" l="1"/>
  <c r="U1072" i="1"/>
  <c r="Q1072" i="1"/>
  <c r="O1074" i="1" l="1"/>
  <c r="U1073" i="1"/>
  <c r="Q1073" i="1"/>
  <c r="O1075" i="1" l="1"/>
  <c r="U1074" i="1"/>
  <c r="Q1074" i="1"/>
  <c r="O1076" i="1" l="1"/>
  <c r="U1075" i="1"/>
  <c r="Q1075" i="1"/>
  <c r="O1077" i="1" l="1"/>
  <c r="U1076" i="1"/>
  <c r="Q1076" i="1"/>
  <c r="O1078" i="1" l="1"/>
  <c r="U1077" i="1"/>
  <c r="Q1077" i="1"/>
  <c r="O1079" i="1" l="1"/>
  <c r="U1078" i="1"/>
  <c r="Q1078" i="1"/>
  <c r="O1080" i="1" l="1"/>
  <c r="U1079" i="1"/>
  <c r="Q1079" i="1"/>
  <c r="O1081" i="1" l="1"/>
  <c r="U1080" i="1"/>
  <c r="Q1080" i="1"/>
  <c r="O1082" i="1" l="1"/>
  <c r="U1081" i="1"/>
  <c r="Q1081" i="1"/>
  <c r="O1083" i="1" l="1"/>
  <c r="U1082" i="1"/>
  <c r="Q1082" i="1"/>
  <c r="O1084" i="1" l="1"/>
  <c r="U1083" i="1"/>
  <c r="Q1083" i="1"/>
  <c r="O1085" i="1" l="1"/>
  <c r="U1084" i="1"/>
  <c r="Q1084" i="1"/>
  <c r="O1086" i="1" l="1"/>
  <c r="U1085" i="1"/>
  <c r="Q1085" i="1"/>
  <c r="O1087" i="1" l="1"/>
  <c r="U1086" i="1"/>
  <c r="Q1086" i="1"/>
  <c r="O1088" i="1" l="1"/>
  <c r="U1087" i="1"/>
  <c r="Q1087" i="1"/>
  <c r="O1089" i="1" l="1"/>
  <c r="U1088" i="1"/>
  <c r="Q1088" i="1"/>
  <c r="O1090" i="1" l="1"/>
  <c r="U1089" i="1"/>
  <c r="Q1089" i="1"/>
  <c r="O1091" i="1" l="1"/>
  <c r="U1090" i="1"/>
  <c r="Q1090" i="1"/>
  <c r="O1092" i="1" l="1"/>
  <c r="U1091" i="1"/>
  <c r="Q1091" i="1"/>
  <c r="O1093" i="1" l="1"/>
  <c r="U1092" i="1"/>
  <c r="Q1092" i="1"/>
  <c r="O1094" i="1" l="1"/>
  <c r="U1093" i="1"/>
  <c r="Q1093" i="1"/>
  <c r="O1095" i="1" l="1"/>
  <c r="U1094" i="1"/>
  <c r="Q1094" i="1"/>
  <c r="O1096" i="1" l="1"/>
  <c r="U1095" i="1"/>
  <c r="Q1095" i="1"/>
  <c r="O1097" i="1" l="1"/>
  <c r="U1096" i="1"/>
  <c r="Q1096" i="1"/>
  <c r="O1098" i="1" l="1"/>
  <c r="U1097" i="1"/>
  <c r="Q1097" i="1"/>
  <c r="O1099" i="1" l="1"/>
  <c r="U1098" i="1"/>
  <c r="Q1098" i="1"/>
  <c r="O1100" i="1" l="1"/>
  <c r="U1099" i="1"/>
  <c r="Q1099" i="1"/>
  <c r="O1101" i="1" l="1"/>
  <c r="U1100" i="1"/>
  <c r="Q1100" i="1"/>
  <c r="O1102" i="1" l="1"/>
  <c r="U1101" i="1"/>
  <c r="Q1101" i="1"/>
  <c r="O1103" i="1" l="1"/>
  <c r="U1102" i="1"/>
  <c r="Q1102" i="1"/>
  <c r="O1104" i="1" l="1"/>
  <c r="U1103" i="1"/>
  <c r="Q1103" i="1"/>
  <c r="O1105" i="1" l="1"/>
  <c r="U1104" i="1"/>
  <c r="Q1104" i="1"/>
  <c r="O1106" i="1" l="1"/>
  <c r="U1105" i="1"/>
  <c r="Q1105" i="1"/>
  <c r="O1107" i="1" l="1"/>
  <c r="U1106" i="1"/>
  <c r="Q1106" i="1"/>
  <c r="O1108" i="1" l="1"/>
  <c r="U1107" i="1"/>
  <c r="Q1107" i="1"/>
  <c r="O1109" i="1" l="1"/>
  <c r="U1108" i="1"/>
  <c r="Q1108" i="1"/>
  <c r="O1110" i="1" l="1"/>
  <c r="U1109" i="1"/>
  <c r="Q1109" i="1"/>
  <c r="O1111" i="1" l="1"/>
  <c r="U1110" i="1"/>
  <c r="Q1110" i="1"/>
  <c r="O1112" i="1" l="1"/>
  <c r="U1111" i="1"/>
  <c r="Q1111" i="1"/>
  <c r="O1113" i="1" l="1"/>
  <c r="U1112" i="1"/>
  <c r="Q1112" i="1"/>
  <c r="O1114" i="1" l="1"/>
  <c r="U1113" i="1"/>
  <c r="Q1113" i="1"/>
  <c r="O1115" i="1" l="1"/>
  <c r="U1114" i="1"/>
  <c r="Q1114" i="1"/>
  <c r="O1116" i="1" l="1"/>
  <c r="U1115" i="1"/>
  <c r="Q1115" i="1"/>
  <c r="O1117" i="1" l="1"/>
  <c r="U1116" i="1"/>
  <c r="Q1116" i="1"/>
  <c r="O1118" i="1" l="1"/>
  <c r="U1117" i="1"/>
  <c r="Q1117" i="1"/>
  <c r="O1119" i="1" l="1"/>
  <c r="U1118" i="1"/>
  <c r="Q1118" i="1"/>
  <c r="O1120" i="1" l="1"/>
  <c r="U1119" i="1"/>
  <c r="Q1119" i="1"/>
  <c r="O1121" i="1" l="1"/>
  <c r="U1120" i="1"/>
  <c r="Q1120" i="1"/>
  <c r="O1122" i="1" l="1"/>
  <c r="U1121" i="1"/>
  <c r="Q1121" i="1"/>
  <c r="O1123" i="1" l="1"/>
  <c r="U1122" i="1"/>
  <c r="Q1122" i="1"/>
  <c r="O1124" i="1" l="1"/>
  <c r="U1123" i="1"/>
  <c r="Q1123" i="1"/>
  <c r="O1125" i="1" l="1"/>
  <c r="U1124" i="1"/>
  <c r="Q1124" i="1"/>
  <c r="O1126" i="1" l="1"/>
  <c r="U1125" i="1"/>
  <c r="Q1125" i="1"/>
  <c r="O1127" i="1" l="1"/>
  <c r="U1126" i="1"/>
  <c r="Q1126" i="1"/>
  <c r="O1128" i="1" l="1"/>
  <c r="U1127" i="1"/>
  <c r="Q1127" i="1"/>
  <c r="O1129" i="1" l="1"/>
  <c r="U1128" i="1"/>
  <c r="Q1128" i="1"/>
  <c r="O1130" i="1" l="1"/>
  <c r="U1129" i="1"/>
  <c r="Q1129" i="1"/>
  <c r="O1131" i="1" l="1"/>
  <c r="U1130" i="1"/>
  <c r="Q1130" i="1"/>
  <c r="O1132" i="1" l="1"/>
  <c r="U1131" i="1"/>
  <c r="Q1131" i="1"/>
  <c r="O1133" i="1" l="1"/>
  <c r="U1132" i="1"/>
  <c r="Q1132" i="1"/>
  <c r="O1134" i="1" l="1"/>
  <c r="U1133" i="1"/>
  <c r="Q1133" i="1"/>
  <c r="O1135" i="1" l="1"/>
  <c r="U1134" i="1"/>
  <c r="Q1134" i="1"/>
  <c r="O1136" i="1" l="1"/>
  <c r="U1135" i="1"/>
  <c r="Q1135" i="1"/>
  <c r="O1137" i="1" l="1"/>
  <c r="U1136" i="1"/>
  <c r="Q1136" i="1"/>
  <c r="O1138" i="1" l="1"/>
  <c r="U1137" i="1"/>
  <c r="Q1137" i="1"/>
  <c r="O1139" i="1" l="1"/>
  <c r="U1138" i="1"/>
  <c r="Q1138" i="1"/>
  <c r="O1140" i="1" l="1"/>
  <c r="U1139" i="1"/>
  <c r="Q1139" i="1"/>
  <c r="O1141" i="1" l="1"/>
  <c r="U1140" i="1"/>
  <c r="Q1140" i="1"/>
  <c r="O1142" i="1" l="1"/>
  <c r="U1141" i="1"/>
  <c r="Q1141" i="1"/>
  <c r="O1143" i="1" l="1"/>
  <c r="U1142" i="1"/>
  <c r="Q1142" i="1"/>
  <c r="O1144" i="1" l="1"/>
  <c r="U1143" i="1"/>
  <c r="Q1143" i="1"/>
  <c r="O1145" i="1" l="1"/>
  <c r="U1144" i="1"/>
  <c r="Q1144" i="1"/>
  <c r="O1146" i="1" l="1"/>
  <c r="U1145" i="1"/>
  <c r="Q1145" i="1"/>
  <c r="O1147" i="1" l="1"/>
  <c r="U1146" i="1"/>
  <c r="Q1146" i="1"/>
  <c r="O1148" i="1" l="1"/>
  <c r="U1147" i="1"/>
  <c r="Q1147" i="1"/>
  <c r="O1149" i="1" l="1"/>
  <c r="U1148" i="1"/>
  <c r="Q1148" i="1"/>
  <c r="O1150" i="1" l="1"/>
  <c r="U1149" i="1"/>
  <c r="Q1149" i="1"/>
  <c r="O1151" i="1" l="1"/>
  <c r="U1150" i="1"/>
  <c r="Q1150" i="1"/>
  <c r="O1152" i="1" l="1"/>
  <c r="U1151" i="1"/>
  <c r="Q1151" i="1"/>
  <c r="O1153" i="1" l="1"/>
  <c r="U1152" i="1"/>
  <c r="Q1152" i="1"/>
  <c r="O1154" i="1" l="1"/>
  <c r="U1153" i="1"/>
  <c r="Q1153" i="1"/>
  <c r="O1155" i="1" l="1"/>
  <c r="U1154" i="1"/>
  <c r="Q1154" i="1"/>
  <c r="O1156" i="1" l="1"/>
  <c r="U1155" i="1"/>
  <c r="Q1155" i="1"/>
  <c r="O1157" i="1" l="1"/>
  <c r="U1156" i="1"/>
  <c r="Q1156" i="1"/>
  <c r="O1158" i="1" l="1"/>
  <c r="U1157" i="1"/>
  <c r="Q1157" i="1"/>
  <c r="O1159" i="1" l="1"/>
  <c r="U1158" i="1"/>
  <c r="Q1158" i="1"/>
  <c r="O1160" i="1" l="1"/>
  <c r="U1159" i="1"/>
  <c r="Q1159" i="1"/>
  <c r="O1161" i="1" l="1"/>
  <c r="U1160" i="1"/>
  <c r="Q1160" i="1"/>
  <c r="O1162" i="1" l="1"/>
  <c r="U1161" i="1"/>
  <c r="Q1161" i="1"/>
  <c r="O1163" i="1" l="1"/>
  <c r="U1162" i="1"/>
  <c r="Q1162" i="1"/>
  <c r="O1164" i="1" l="1"/>
  <c r="U1163" i="1"/>
  <c r="Q1163" i="1"/>
  <c r="O1165" i="1" l="1"/>
  <c r="U1164" i="1"/>
  <c r="Q1164" i="1"/>
  <c r="O1166" i="1" l="1"/>
  <c r="U1165" i="1"/>
  <c r="Q1165" i="1"/>
  <c r="O1167" i="1" l="1"/>
  <c r="U1166" i="1"/>
  <c r="Q1166" i="1"/>
  <c r="O1168" i="1" l="1"/>
  <c r="U1167" i="1"/>
  <c r="Q1167" i="1"/>
  <c r="O1169" i="1" l="1"/>
  <c r="U1168" i="1"/>
  <c r="Q1168" i="1"/>
  <c r="O1170" i="1" l="1"/>
  <c r="U1169" i="1"/>
  <c r="Q1169" i="1"/>
  <c r="O1171" i="1" l="1"/>
  <c r="U1170" i="1"/>
  <c r="Q1170" i="1"/>
  <c r="O1172" i="1" l="1"/>
  <c r="U1171" i="1"/>
  <c r="Q1171" i="1"/>
  <c r="O1173" i="1" l="1"/>
  <c r="U1172" i="1"/>
  <c r="Q1172" i="1"/>
  <c r="O1174" i="1" l="1"/>
  <c r="U1173" i="1"/>
  <c r="Q1173" i="1"/>
  <c r="O1175" i="1" l="1"/>
  <c r="U1174" i="1"/>
  <c r="Q1174" i="1"/>
  <c r="O1176" i="1" l="1"/>
  <c r="U1175" i="1"/>
  <c r="Q1175" i="1"/>
  <c r="O1177" i="1" l="1"/>
  <c r="U1176" i="1"/>
  <c r="Q1176" i="1"/>
  <c r="O1178" i="1" l="1"/>
  <c r="U1177" i="1"/>
  <c r="Q1177" i="1"/>
  <c r="O1179" i="1" l="1"/>
  <c r="U1178" i="1"/>
  <c r="Q1178" i="1"/>
  <c r="O1180" i="1" l="1"/>
  <c r="U1179" i="1"/>
  <c r="Q1179" i="1"/>
  <c r="O1181" i="1" l="1"/>
  <c r="U1180" i="1"/>
  <c r="Q1180" i="1"/>
  <c r="O1182" i="1" l="1"/>
  <c r="U1181" i="1"/>
  <c r="Q1181" i="1"/>
  <c r="O1183" i="1" l="1"/>
  <c r="U1182" i="1"/>
  <c r="Q1182" i="1"/>
  <c r="O1184" i="1" l="1"/>
  <c r="U1183" i="1"/>
  <c r="Q1183" i="1"/>
  <c r="O1185" i="1" l="1"/>
  <c r="U1184" i="1"/>
  <c r="Q1184" i="1"/>
  <c r="O1186" i="1" l="1"/>
  <c r="U1185" i="1"/>
  <c r="Q1185" i="1"/>
  <c r="O1187" i="1" l="1"/>
  <c r="U1186" i="1"/>
  <c r="Q1186" i="1"/>
  <c r="O1188" i="1" l="1"/>
  <c r="U1187" i="1"/>
  <c r="Q1187" i="1"/>
  <c r="O1189" i="1" l="1"/>
  <c r="U1188" i="1"/>
  <c r="Q1188" i="1"/>
  <c r="O1190" i="1" l="1"/>
  <c r="U1189" i="1"/>
  <c r="Q1189" i="1"/>
  <c r="O1191" i="1" l="1"/>
  <c r="U1190" i="1"/>
  <c r="Q1190" i="1"/>
  <c r="O1192" i="1" l="1"/>
  <c r="U1191" i="1"/>
  <c r="Q1191" i="1"/>
  <c r="O1193" i="1" l="1"/>
  <c r="U1192" i="1"/>
  <c r="Q1192" i="1"/>
  <c r="O1194" i="1" l="1"/>
  <c r="U1193" i="1"/>
  <c r="Q1193" i="1"/>
  <c r="O1195" i="1" l="1"/>
  <c r="U1194" i="1"/>
  <c r="Q1194" i="1"/>
  <c r="O1196" i="1" l="1"/>
  <c r="U1195" i="1"/>
  <c r="Q1195" i="1"/>
  <c r="O1197" i="1" l="1"/>
  <c r="U1196" i="1"/>
  <c r="Q1196" i="1"/>
  <c r="O1198" i="1" l="1"/>
  <c r="U1197" i="1"/>
  <c r="Q1197" i="1"/>
  <c r="O1199" i="1" l="1"/>
  <c r="U1198" i="1"/>
  <c r="Q1198" i="1"/>
  <c r="O1200" i="1" l="1"/>
  <c r="U1199" i="1"/>
  <c r="Q1199" i="1"/>
  <c r="O1201" i="1" l="1"/>
  <c r="U1200" i="1"/>
  <c r="Q1200" i="1"/>
  <c r="O1202" i="1" l="1"/>
  <c r="U1201" i="1"/>
  <c r="Q1201" i="1"/>
  <c r="O1203" i="1" l="1"/>
  <c r="U1202" i="1"/>
  <c r="Q1202" i="1"/>
  <c r="O1204" i="1" l="1"/>
  <c r="U1203" i="1"/>
  <c r="Q1203" i="1"/>
  <c r="O1205" i="1" l="1"/>
  <c r="U1204" i="1"/>
  <c r="Q1204" i="1"/>
  <c r="O1206" i="1" l="1"/>
  <c r="U1205" i="1"/>
  <c r="Q1205" i="1"/>
  <c r="O1207" i="1" l="1"/>
  <c r="U1206" i="1"/>
  <c r="Q1206" i="1"/>
  <c r="O1208" i="1" l="1"/>
  <c r="U1207" i="1"/>
  <c r="Q1207" i="1"/>
  <c r="O1209" i="1" l="1"/>
  <c r="U1208" i="1"/>
  <c r="Q1208" i="1"/>
  <c r="O1210" i="1" l="1"/>
  <c r="U1209" i="1"/>
  <c r="Q1209" i="1"/>
  <c r="O1211" i="1" l="1"/>
  <c r="U1210" i="1"/>
  <c r="Q1210" i="1"/>
  <c r="O1212" i="1" l="1"/>
  <c r="U1211" i="1"/>
  <c r="Q1211" i="1"/>
  <c r="O1213" i="1" l="1"/>
  <c r="U1212" i="1"/>
  <c r="Q1212" i="1"/>
  <c r="O1214" i="1" l="1"/>
  <c r="U1213" i="1"/>
  <c r="Q1213" i="1"/>
  <c r="O1215" i="1" l="1"/>
  <c r="U1214" i="1"/>
  <c r="Q1214" i="1"/>
  <c r="O1216" i="1" l="1"/>
  <c r="U1215" i="1"/>
  <c r="Q1215" i="1"/>
  <c r="O1217" i="1" l="1"/>
  <c r="U1216" i="1"/>
  <c r="Q1216" i="1"/>
  <c r="O1218" i="1" l="1"/>
  <c r="U1217" i="1"/>
  <c r="Q1217" i="1"/>
  <c r="O1219" i="1" l="1"/>
  <c r="U1218" i="1"/>
  <c r="Q1218" i="1"/>
  <c r="O1220" i="1" l="1"/>
  <c r="U1219" i="1"/>
  <c r="Q1219" i="1"/>
  <c r="O1221" i="1" l="1"/>
  <c r="U1220" i="1"/>
  <c r="Q1220" i="1"/>
  <c r="O1222" i="1" l="1"/>
  <c r="U1221" i="1"/>
  <c r="Q1221" i="1"/>
  <c r="O1223" i="1" l="1"/>
  <c r="U1222" i="1"/>
  <c r="Q1222" i="1"/>
  <c r="O1224" i="1" l="1"/>
  <c r="U1223" i="1"/>
  <c r="Q1223" i="1"/>
  <c r="O1225" i="1" l="1"/>
  <c r="U1224" i="1"/>
  <c r="Q1224" i="1"/>
  <c r="O1226" i="1" l="1"/>
  <c r="U1225" i="1"/>
  <c r="Q1225" i="1"/>
  <c r="O1227" i="1" l="1"/>
  <c r="U1226" i="1"/>
  <c r="Q1226" i="1"/>
  <c r="O1228" i="1" l="1"/>
  <c r="U1227" i="1"/>
  <c r="Q1227" i="1"/>
  <c r="O1229" i="1" l="1"/>
  <c r="U1228" i="1"/>
  <c r="Q1228" i="1"/>
  <c r="O1230" i="1" l="1"/>
  <c r="U1229" i="1"/>
  <c r="Q1229" i="1"/>
  <c r="O1231" i="1" l="1"/>
  <c r="U1230" i="1"/>
  <c r="Q1230" i="1"/>
  <c r="O1232" i="1" l="1"/>
  <c r="U1231" i="1"/>
  <c r="Q1231" i="1"/>
  <c r="O1233" i="1" l="1"/>
  <c r="U1232" i="1"/>
  <c r="Q1232" i="1"/>
  <c r="O1234" i="1" l="1"/>
  <c r="U1233" i="1"/>
  <c r="Q1233" i="1"/>
  <c r="O1235" i="1" l="1"/>
  <c r="U1234" i="1"/>
  <c r="Q1234" i="1"/>
  <c r="O1236" i="1" l="1"/>
  <c r="U1235" i="1"/>
  <c r="Q1235" i="1"/>
  <c r="O1237" i="1" l="1"/>
  <c r="U1236" i="1"/>
  <c r="Q1236" i="1"/>
  <c r="O1238" i="1" l="1"/>
  <c r="U1237" i="1"/>
  <c r="Q1237" i="1"/>
  <c r="O1239" i="1" l="1"/>
  <c r="U1238" i="1"/>
  <c r="Q1238" i="1"/>
  <c r="O1240" i="1" l="1"/>
  <c r="U1239" i="1"/>
  <c r="Q1239" i="1"/>
  <c r="O1241" i="1" l="1"/>
  <c r="U1240" i="1"/>
  <c r="Q1240" i="1"/>
  <c r="O1242" i="1" l="1"/>
  <c r="U1241" i="1"/>
  <c r="Q1241" i="1"/>
  <c r="O1243" i="1" l="1"/>
  <c r="U1242" i="1"/>
  <c r="Q1242" i="1"/>
  <c r="O1244" i="1" l="1"/>
  <c r="U1243" i="1"/>
  <c r="Q1243" i="1"/>
  <c r="O1245" i="1" l="1"/>
  <c r="U1244" i="1"/>
  <c r="Q1244" i="1"/>
  <c r="O1246" i="1" l="1"/>
  <c r="U1245" i="1"/>
  <c r="Q1245" i="1"/>
  <c r="O1247" i="1" l="1"/>
  <c r="U1246" i="1"/>
  <c r="Q1246" i="1"/>
  <c r="O1248" i="1" l="1"/>
  <c r="U1247" i="1"/>
  <c r="Q1247" i="1"/>
  <c r="O1249" i="1" l="1"/>
  <c r="U1248" i="1"/>
  <c r="Q1248" i="1"/>
  <c r="O1250" i="1" l="1"/>
  <c r="U1249" i="1"/>
  <c r="Q1249" i="1"/>
  <c r="O1251" i="1" l="1"/>
  <c r="U1250" i="1"/>
  <c r="Q1250" i="1"/>
  <c r="O1252" i="1" l="1"/>
  <c r="U1251" i="1"/>
  <c r="Q1251" i="1"/>
  <c r="O1253" i="1" l="1"/>
  <c r="U1252" i="1"/>
  <c r="Q1252" i="1"/>
  <c r="O1254" i="1" l="1"/>
  <c r="U1253" i="1"/>
  <c r="Q1253" i="1"/>
  <c r="O1255" i="1" l="1"/>
  <c r="U1254" i="1"/>
  <c r="Q1254" i="1"/>
  <c r="O1256" i="1" l="1"/>
  <c r="U1255" i="1"/>
  <c r="Q1255" i="1"/>
  <c r="O1257" i="1" l="1"/>
  <c r="U1256" i="1"/>
  <c r="Q1256" i="1"/>
  <c r="O1258" i="1" l="1"/>
  <c r="U1257" i="1"/>
  <c r="Q1257" i="1"/>
  <c r="O1259" i="1" l="1"/>
  <c r="U1258" i="1"/>
  <c r="Q1258" i="1"/>
  <c r="O1260" i="1" l="1"/>
  <c r="U1259" i="1"/>
  <c r="Q1259" i="1"/>
  <c r="O1261" i="1" l="1"/>
  <c r="U1260" i="1"/>
  <c r="Q1260" i="1"/>
  <c r="O1262" i="1" l="1"/>
  <c r="U1261" i="1"/>
  <c r="Q1261" i="1"/>
  <c r="O1263" i="1" l="1"/>
  <c r="U1262" i="1"/>
  <c r="Q1262" i="1"/>
  <c r="O1264" i="1" l="1"/>
  <c r="U1263" i="1"/>
  <c r="Q1263" i="1"/>
  <c r="O1265" i="1" l="1"/>
  <c r="U1264" i="1"/>
  <c r="Q1264" i="1"/>
  <c r="O1266" i="1" l="1"/>
  <c r="U1265" i="1"/>
  <c r="Q1265" i="1"/>
  <c r="O1267" i="1" l="1"/>
  <c r="U1266" i="1"/>
  <c r="Q1266" i="1"/>
  <c r="O1268" i="1" l="1"/>
  <c r="U1267" i="1"/>
  <c r="Q1267" i="1"/>
  <c r="O1269" i="1" l="1"/>
  <c r="U1268" i="1"/>
  <c r="Q1268" i="1"/>
  <c r="O1270" i="1" l="1"/>
  <c r="U1269" i="1"/>
  <c r="Q1269" i="1"/>
  <c r="O1271" i="1" l="1"/>
  <c r="U1270" i="1"/>
  <c r="Q1270" i="1"/>
  <c r="O1272" i="1" l="1"/>
  <c r="U1271" i="1"/>
  <c r="Q1271" i="1"/>
  <c r="O1273" i="1" l="1"/>
  <c r="U1272" i="1"/>
  <c r="Q1272" i="1"/>
  <c r="O1274" i="1" l="1"/>
  <c r="U1273" i="1"/>
  <c r="Q1273" i="1"/>
  <c r="O1275" i="1" l="1"/>
  <c r="U1274" i="1"/>
  <c r="Q1274" i="1"/>
  <c r="O1276" i="1" l="1"/>
  <c r="U1275" i="1"/>
  <c r="Q1275" i="1"/>
  <c r="O1277" i="1" l="1"/>
  <c r="U1276" i="1"/>
  <c r="Q1276" i="1"/>
  <c r="O1278" i="1" l="1"/>
  <c r="U1277" i="1"/>
  <c r="Q1277" i="1"/>
  <c r="O1279" i="1" l="1"/>
  <c r="U1278" i="1"/>
  <c r="Q1278" i="1"/>
  <c r="O1280" i="1" l="1"/>
  <c r="U1279" i="1"/>
  <c r="Q1279" i="1"/>
  <c r="O1281" i="1" l="1"/>
  <c r="U1280" i="1"/>
  <c r="Q1280" i="1"/>
  <c r="O1282" i="1" l="1"/>
  <c r="U1281" i="1"/>
  <c r="Q1281" i="1"/>
  <c r="O1283" i="1" l="1"/>
  <c r="U1282" i="1"/>
  <c r="Q1282" i="1"/>
  <c r="O1284" i="1" l="1"/>
  <c r="U1283" i="1"/>
  <c r="Q1283" i="1"/>
  <c r="O1285" i="1" l="1"/>
  <c r="U1284" i="1"/>
  <c r="Q1284" i="1"/>
  <c r="O1286" i="1" l="1"/>
  <c r="U1285" i="1"/>
  <c r="Q1285" i="1"/>
  <c r="O1287" i="1" l="1"/>
  <c r="U1286" i="1"/>
  <c r="Q1286" i="1"/>
  <c r="O1288" i="1" l="1"/>
  <c r="U1287" i="1"/>
  <c r="Q1287" i="1"/>
  <c r="O1289" i="1" l="1"/>
  <c r="U1288" i="1"/>
  <c r="Q1288" i="1"/>
  <c r="O1290" i="1" l="1"/>
  <c r="U1289" i="1"/>
  <c r="Q1289" i="1"/>
  <c r="O1291" i="1" l="1"/>
  <c r="U1290" i="1"/>
  <c r="Q1290" i="1"/>
  <c r="O1292" i="1" l="1"/>
  <c r="U1291" i="1"/>
  <c r="Q1291" i="1"/>
  <c r="O1293" i="1" l="1"/>
  <c r="U1292" i="1"/>
  <c r="Q1292" i="1"/>
  <c r="O1294" i="1" l="1"/>
  <c r="U1293" i="1"/>
  <c r="Q1293" i="1"/>
  <c r="O1295" i="1" l="1"/>
  <c r="U1294" i="1"/>
  <c r="Q1294" i="1"/>
  <c r="O1296" i="1" l="1"/>
  <c r="U1295" i="1"/>
  <c r="Q1295" i="1"/>
  <c r="O1297" i="1" l="1"/>
  <c r="U1296" i="1"/>
  <c r="Q1296" i="1"/>
  <c r="O1298" i="1" l="1"/>
  <c r="U1297" i="1"/>
  <c r="Q1297" i="1"/>
  <c r="O1299" i="1" l="1"/>
  <c r="U1298" i="1"/>
  <c r="Q1298" i="1"/>
  <c r="O1300" i="1" l="1"/>
  <c r="U1299" i="1"/>
  <c r="Q1299" i="1"/>
  <c r="O1301" i="1" l="1"/>
  <c r="U1300" i="1"/>
  <c r="Q1300" i="1"/>
  <c r="O1302" i="1" l="1"/>
  <c r="U1301" i="1"/>
  <c r="Q1301" i="1"/>
  <c r="O1303" i="1" l="1"/>
  <c r="U1302" i="1"/>
  <c r="Q1302" i="1"/>
  <c r="O1304" i="1" l="1"/>
  <c r="U1303" i="1"/>
  <c r="Q1303" i="1"/>
  <c r="O1305" i="1" l="1"/>
  <c r="U1304" i="1"/>
  <c r="Q1304" i="1"/>
  <c r="O1306" i="1" l="1"/>
  <c r="U1305" i="1"/>
  <c r="Q1305" i="1"/>
  <c r="O1307" i="1" l="1"/>
  <c r="U1306" i="1"/>
  <c r="Q1306" i="1"/>
  <c r="O1308" i="1" l="1"/>
  <c r="U1307" i="1"/>
  <c r="Q1307" i="1"/>
  <c r="O1309" i="1" l="1"/>
  <c r="U1308" i="1"/>
  <c r="Q1308" i="1"/>
  <c r="O1310" i="1" l="1"/>
  <c r="U1309" i="1"/>
  <c r="Q1309" i="1"/>
  <c r="O1311" i="1" l="1"/>
  <c r="U1310" i="1"/>
  <c r="Q1310" i="1"/>
  <c r="O1312" i="1" l="1"/>
  <c r="U1311" i="1"/>
  <c r="Q1311" i="1"/>
  <c r="O1313" i="1" l="1"/>
  <c r="U1312" i="1"/>
  <c r="Q1312" i="1"/>
  <c r="O1314" i="1" l="1"/>
  <c r="U1313" i="1"/>
  <c r="Q1313" i="1"/>
  <c r="O1315" i="1" l="1"/>
  <c r="U1314" i="1"/>
  <c r="Q1314" i="1"/>
  <c r="O1316" i="1" l="1"/>
  <c r="U1315" i="1"/>
  <c r="Q1315" i="1"/>
  <c r="O1317" i="1" l="1"/>
  <c r="U1316" i="1"/>
  <c r="Q1316" i="1"/>
  <c r="O1318" i="1" l="1"/>
  <c r="U1317" i="1"/>
  <c r="Q1317" i="1"/>
  <c r="O1319" i="1" l="1"/>
  <c r="U1318" i="1"/>
  <c r="Q1318" i="1"/>
  <c r="O1320" i="1" l="1"/>
  <c r="U1319" i="1"/>
  <c r="Q1319" i="1"/>
  <c r="O1321" i="1" l="1"/>
  <c r="U1320" i="1"/>
  <c r="Q1320" i="1"/>
  <c r="O1322" i="1" l="1"/>
  <c r="U1321" i="1"/>
  <c r="Q1321" i="1"/>
  <c r="O1323" i="1" l="1"/>
  <c r="U1322" i="1"/>
  <c r="Q1322" i="1"/>
  <c r="O1324" i="1" l="1"/>
  <c r="U1323" i="1"/>
  <c r="Q1323" i="1"/>
  <c r="O1325" i="1" l="1"/>
  <c r="U1324" i="1"/>
  <c r="Q1324" i="1"/>
  <c r="O1326" i="1" l="1"/>
  <c r="U1325" i="1"/>
  <c r="Q1325" i="1"/>
  <c r="O1327" i="1" l="1"/>
  <c r="U1326" i="1"/>
  <c r="Q1326" i="1"/>
  <c r="O1328" i="1" l="1"/>
  <c r="U1327" i="1"/>
  <c r="Q1327" i="1"/>
  <c r="O1329" i="1" l="1"/>
  <c r="U1328" i="1"/>
  <c r="Q1328" i="1"/>
  <c r="O1330" i="1" l="1"/>
  <c r="U1329" i="1"/>
  <c r="Q1329" i="1"/>
  <c r="O1331" i="1" l="1"/>
  <c r="U1330" i="1"/>
  <c r="Q1330" i="1"/>
  <c r="O1332" i="1" l="1"/>
  <c r="U1331" i="1"/>
  <c r="Q1331" i="1"/>
  <c r="O1333" i="1" l="1"/>
  <c r="U1332" i="1"/>
  <c r="Q1332" i="1"/>
  <c r="O1334" i="1" l="1"/>
  <c r="U1333" i="1"/>
  <c r="Q1333" i="1"/>
  <c r="O1335" i="1" l="1"/>
  <c r="U1334" i="1"/>
  <c r="Q1334" i="1"/>
  <c r="O1336" i="1" l="1"/>
  <c r="U1335" i="1"/>
  <c r="Q1335" i="1"/>
  <c r="O1337" i="1" l="1"/>
  <c r="U1336" i="1"/>
  <c r="Q1336" i="1"/>
  <c r="O1338" i="1" l="1"/>
  <c r="U1337" i="1"/>
  <c r="Q1337" i="1"/>
  <c r="O1339" i="1" l="1"/>
  <c r="U1338" i="1"/>
  <c r="Q1338" i="1"/>
  <c r="O1340" i="1" l="1"/>
  <c r="U1339" i="1"/>
  <c r="Q1339" i="1"/>
  <c r="O1341" i="1" l="1"/>
  <c r="U1340" i="1"/>
  <c r="Q1340" i="1"/>
  <c r="O1342" i="1" l="1"/>
  <c r="U1341" i="1"/>
  <c r="Q1341" i="1"/>
  <c r="O1343" i="1" l="1"/>
  <c r="U1342" i="1"/>
  <c r="Q1342" i="1"/>
  <c r="O1344" i="1" l="1"/>
  <c r="U1343" i="1"/>
  <c r="Q1343" i="1"/>
  <c r="O1345" i="1" l="1"/>
  <c r="U1344" i="1"/>
  <c r="Q1344" i="1"/>
  <c r="O1346" i="1" l="1"/>
  <c r="U1345" i="1"/>
  <c r="Q1345" i="1"/>
  <c r="O1347" i="1" l="1"/>
  <c r="U1346" i="1"/>
  <c r="Q1346" i="1"/>
  <c r="O1348" i="1" l="1"/>
  <c r="U1347" i="1"/>
  <c r="Q1347" i="1"/>
  <c r="O1349" i="1" l="1"/>
  <c r="U1348" i="1"/>
  <c r="Q1348" i="1"/>
  <c r="O1350" i="1" l="1"/>
  <c r="U1349" i="1"/>
  <c r="Q1349" i="1"/>
  <c r="O1351" i="1" l="1"/>
  <c r="U1350" i="1"/>
  <c r="Q1350" i="1"/>
  <c r="O1352" i="1" l="1"/>
  <c r="U1351" i="1"/>
  <c r="Q1351" i="1"/>
  <c r="O1353" i="1" l="1"/>
  <c r="U1352" i="1"/>
  <c r="Q1352" i="1"/>
  <c r="O1354" i="1" l="1"/>
  <c r="U1353" i="1"/>
  <c r="Q1353" i="1"/>
  <c r="O1355" i="1" l="1"/>
  <c r="U1354" i="1"/>
  <c r="Q1354" i="1"/>
  <c r="O1356" i="1" l="1"/>
  <c r="U1355" i="1"/>
  <c r="Q1355" i="1"/>
  <c r="O1357" i="1" l="1"/>
  <c r="U1356" i="1"/>
  <c r="Q1356" i="1"/>
  <c r="O1358" i="1" l="1"/>
  <c r="U1357" i="1"/>
  <c r="Q1357" i="1"/>
  <c r="O1359" i="1" l="1"/>
  <c r="U1358" i="1"/>
  <c r="Q1358" i="1"/>
  <c r="O1360" i="1" l="1"/>
  <c r="U1359" i="1"/>
  <c r="Q1359" i="1"/>
  <c r="O1361" i="1" l="1"/>
  <c r="U1360" i="1"/>
  <c r="Q1360" i="1"/>
  <c r="O1362" i="1" l="1"/>
  <c r="U1361" i="1"/>
  <c r="Q1361" i="1"/>
  <c r="O1363" i="1" l="1"/>
  <c r="U1362" i="1"/>
  <c r="Q1362" i="1"/>
  <c r="O1364" i="1" l="1"/>
  <c r="U1363" i="1"/>
  <c r="Q1363" i="1"/>
  <c r="O1365" i="1" l="1"/>
  <c r="U1364" i="1"/>
  <c r="Q1364" i="1"/>
  <c r="O1366" i="1" l="1"/>
  <c r="U1365" i="1"/>
  <c r="Q1365" i="1"/>
  <c r="O1367" i="1" l="1"/>
  <c r="U1366" i="1"/>
  <c r="Q1366" i="1"/>
  <c r="O1368" i="1" l="1"/>
  <c r="U1367" i="1"/>
  <c r="Q1367" i="1"/>
  <c r="O1369" i="1" l="1"/>
  <c r="U1368" i="1"/>
  <c r="Q1368" i="1"/>
  <c r="O1370" i="1" l="1"/>
  <c r="U1369" i="1"/>
  <c r="Q1369" i="1"/>
  <c r="O1371" i="1" l="1"/>
  <c r="U1370" i="1"/>
  <c r="Q1370" i="1"/>
  <c r="O1372" i="1" l="1"/>
  <c r="U1371" i="1"/>
  <c r="Q1371" i="1"/>
  <c r="O1373" i="1" l="1"/>
  <c r="U1372" i="1"/>
  <c r="Q1372" i="1"/>
  <c r="O1374" i="1" l="1"/>
  <c r="U1373" i="1"/>
  <c r="Q1373" i="1"/>
  <c r="O1375" i="1" l="1"/>
  <c r="U1374" i="1"/>
  <c r="Q1374" i="1"/>
  <c r="O1376" i="1" l="1"/>
  <c r="U1375" i="1"/>
  <c r="Q1375" i="1"/>
  <c r="O1377" i="1" l="1"/>
  <c r="U1376" i="1"/>
  <c r="Q1376" i="1"/>
  <c r="O1378" i="1" l="1"/>
  <c r="U1377" i="1"/>
  <c r="Q1377" i="1"/>
  <c r="O1379" i="1" l="1"/>
  <c r="U1378" i="1"/>
  <c r="Q1378" i="1"/>
  <c r="O1380" i="1" l="1"/>
  <c r="U1379" i="1"/>
  <c r="Q1379" i="1"/>
  <c r="O1381" i="1" l="1"/>
  <c r="U1380" i="1"/>
  <c r="Q1380" i="1"/>
  <c r="O1382" i="1" l="1"/>
  <c r="U1381" i="1"/>
  <c r="Q1381" i="1"/>
  <c r="O1383" i="1" l="1"/>
  <c r="U1382" i="1"/>
  <c r="Q1382" i="1"/>
  <c r="O1384" i="1" l="1"/>
  <c r="U1383" i="1"/>
  <c r="Q1383" i="1"/>
  <c r="O1385" i="1" l="1"/>
  <c r="U1384" i="1"/>
  <c r="Q1384" i="1"/>
  <c r="O1386" i="1" l="1"/>
  <c r="U1385" i="1"/>
  <c r="Q1385" i="1"/>
  <c r="O1387" i="1" l="1"/>
  <c r="U1386" i="1"/>
  <c r="Q1386" i="1"/>
  <c r="O1388" i="1" l="1"/>
  <c r="U1387" i="1"/>
  <c r="Q1387" i="1"/>
  <c r="O1389" i="1" l="1"/>
  <c r="U1388" i="1"/>
  <c r="Q1388" i="1"/>
  <c r="O1390" i="1" l="1"/>
  <c r="U1389" i="1"/>
  <c r="Q1389" i="1"/>
  <c r="O1391" i="1" l="1"/>
  <c r="U1390" i="1"/>
  <c r="Q1390" i="1"/>
  <c r="O1392" i="1" l="1"/>
  <c r="U1391" i="1"/>
  <c r="Q1391" i="1"/>
  <c r="O1393" i="1" l="1"/>
  <c r="U1392" i="1"/>
  <c r="Q1392" i="1"/>
  <c r="O1394" i="1" l="1"/>
  <c r="U1393" i="1"/>
  <c r="Q1393" i="1"/>
  <c r="O1395" i="1" l="1"/>
  <c r="U1394" i="1"/>
  <c r="Q1394" i="1"/>
  <c r="O1396" i="1" l="1"/>
  <c r="U1395" i="1"/>
  <c r="Q1395" i="1"/>
  <c r="O1397" i="1" l="1"/>
  <c r="U1396" i="1"/>
  <c r="Q1396" i="1"/>
  <c r="O1398" i="1" l="1"/>
  <c r="U1397" i="1"/>
  <c r="Q1397" i="1"/>
  <c r="O1399" i="1" l="1"/>
  <c r="U1398" i="1"/>
  <c r="Q1398" i="1"/>
  <c r="O1400" i="1" l="1"/>
  <c r="U1399" i="1"/>
  <c r="Q1399" i="1"/>
  <c r="O1401" i="1" l="1"/>
  <c r="U1400" i="1"/>
  <c r="Q1400" i="1"/>
  <c r="O1402" i="1" l="1"/>
  <c r="U1401" i="1"/>
  <c r="Q1401" i="1"/>
  <c r="O1403" i="1" l="1"/>
  <c r="U1402" i="1"/>
  <c r="Q1402" i="1"/>
  <c r="O1404" i="1" l="1"/>
  <c r="U1403" i="1"/>
  <c r="Q1403" i="1"/>
  <c r="O1405" i="1" l="1"/>
  <c r="U1404" i="1"/>
  <c r="Q1404" i="1"/>
  <c r="O1406" i="1" l="1"/>
  <c r="U1405" i="1"/>
  <c r="Q1405" i="1"/>
  <c r="O1407" i="1" l="1"/>
  <c r="U1406" i="1"/>
  <c r="Q1406" i="1"/>
  <c r="O1408" i="1" l="1"/>
  <c r="U1407" i="1"/>
  <c r="Q1407" i="1"/>
  <c r="O1409" i="1" l="1"/>
  <c r="U1408" i="1"/>
  <c r="Q1408" i="1"/>
  <c r="O1410" i="1" l="1"/>
  <c r="U1409" i="1"/>
  <c r="Q1409" i="1"/>
  <c r="O1411" i="1" l="1"/>
  <c r="U1410" i="1"/>
  <c r="Q1410" i="1"/>
  <c r="O1412" i="1" l="1"/>
  <c r="U1411" i="1"/>
  <c r="Q1411" i="1"/>
  <c r="O1413" i="1" l="1"/>
  <c r="U1412" i="1"/>
  <c r="Q1412" i="1"/>
  <c r="O1414" i="1" l="1"/>
  <c r="U1413" i="1"/>
  <c r="Q1413" i="1"/>
  <c r="O1415" i="1" l="1"/>
  <c r="U1414" i="1"/>
  <c r="Q1414" i="1"/>
  <c r="O1416" i="1" l="1"/>
  <c r="U1415" i="1"/>
  <c r="Q1415" i="1"/>
  <c r="O1417" i="1" l="1"/>
  <c r="U1416" i="1"/>
  <c r="Q1416" i="1"/>
  <c r="O1418" i="1" l="1"/>
  <c r="U1417" i="1"/>
  <c r="Q1417" i="1"/>
  <c r="O1419" i="1" l="1"/>
  <c r="U1418" i="1"/>
  <c r="Q1418" i="1"/>
  <c r="O1420" i="1" l="1"/>
  <c r="U1419" i="1"/>
  <c r="Q1419" i="1"/>
  <c r="O1421" i="1" l="1"/>
  <c r="U1420" i="1"/>
  <c r="Q1420" i="1"/>
  <c r="O1422" i="1" l="1"/>
  <c r="U1421" i="1"/>
  <c r="Q1421" i="1"/>
  <c r="O1423" i="1" l="1"/>
  <c r="U1422" i="1"/>
  <c r="Q1422" i="1"/>
  <c r="O1424" i="1" l="1"/>
  <c r="U1423" i="1"/>
  <c r="Q1423" i="1"/>
  <c r="O1425" i="1" l="1"/>
  <c r="U1424" i="1"/>
  <c r="Q1424" i="1"/>
  <c r="O1426" i="1" l="1"/>
  <c r="U1425" i="1"/>
  <c r="Q1425" i="1"/>
  <c r="O1427" i="1" l="1"/>
  <c r="U1426" i="1"/>
  <c r="Q1426" i="1"/>
  <c r="O1428" i="1" l="1"/>
  <c r="U1427" i="1"/>
  <c r="Q1427" i="1"/>
  <c r="O1429" i="1" l="1"/>
  <c r="U1428" i="1"/>
  <c r="Q1428" i="1"/>
  <c r="O1430" i="1" l="1"/>
  <c r="U1429" i="1"/>
  <c r="Q1429" i="1"/>
  <c r="O1431" i="1" l="1"/>
  <c r="U1430" i="1"/>
  <c r="Q1430" i="1"/>
  <c r="O1432" i="1" l="1"/>
  <c r="U1431" i="1"/>
  <c r="Q1431" i="1"/>
  <c r="O1433" i="1" l="1"/>
  <c r="U1432" i="1"/>
  <c r="Q1432" i="1"/>
  <c r="O1434" i="1" l="1"/>
  <c r="U1433" i="1"/>
  <c r="Q1433" i="1"/>
  <c r="O1435" i="1" l="1"/>
  <c r="U1434" i="1"/>
  <c r="Q1434" i="1"/>
  <c r="O1436" i="1" l="1"/>
  <c r="U1435" i="1"/>
  <c r="Q1435" i="1"/>
  <c r="O1437" i="1" l="1"/>
  <c r="U1436" i="1"/>
  <c r="Q1436" i="1"/>
  <c r="O1438" i="1" l="1"/>
  <c r="U1437" i="1"/>
  <c r="Q1437" i="1"/>
  <c r="O1439" i="1" l="1"/>
  <c r="U1438" i="1"/>
  <c r="Q1438" i="1"/>
  <c r="O1440" i="1" l="1"/>
  <c r="U1439" i="1"/>
  <c r="Q1439" i="1"/>
  <c r="O1441" i="1" l="1"/>
  <c r="U1440" i="1"/>
  <c r="Q1440" i="1"/>
  <c r="O1442" i="1" l="1"/>
  <c r="U1441" i="1"/>
  <c r="Q1441" i="1"/>
  <c r="O1443" i="1" l="1"/>
  <c r="U1442" i="1"/>
  <c r="Q1442" i="1"/>
  <c r="O1444" i="1" l="1"/>
  <c r="U1443" i="1"/>
  <c r="Q1443" i="1"/>
  <c r="O1445" i="1" l="1"/>
  <c r="U1444" i="1"/>
  <c r="Q1444" i="1"/>
  <c r="O1446" i="1" l="1"/>
  <c r="U1445" i="1"/>
  <c r="Q1445" i="1"/>
  <c r="O1447" i="1" l="1"/>
  <c r="U1446" i="1"/>
  <c r="Q1446" i="1"/>
  <c r="O1448" i="1" l="1"/>
  <c r="U1447" i="1"/>
  <c r="Q1447" i="1"/>
  <c r="O1449" i="1" l="1"/>
  <c r="U1448" i="1"/>
  <c r="Q1448" i="1"/>
  <c r="O1450" i="1" l="1"/>
  <c r="U1449" i="1"/>
  <c r="Q1449" i="1"/>
  <c r="O1451" i="1" l="1"/>
  <c r="U1450" i="1"/>
  <c r="Q1450" i="1"/>
  <c r="O1452" i="1" l="1"/>
  <c r="U1451" i="1"/>
  <c r="Q1451" i="1"/>
  <c r="O1453" i="1" l="1"/>
  <c r="U1452" i="1"/>
  <c r="Q1452" i="1"/>
  <c r="O1454" i="1" l="1"/>
  <c r="U1453" i="1"/>
  <c r="Q1453" i="1"/>
  <c r="O1455" i="1" l="1"/>
  <c r="U1454" i="1"/>
  <c r="Q1454" i="1"/>
  <c r="O1456" i="1" l="1"/>
  <c r="U1455" i="1"/>
  <c r="Q1455" i="1"/>
  <c r="O1457" i="1" l="1"/>
  <c r="U1456" i="1"/>
  <c r="Q1456" i="1"/>
  <c r="O1458" i="1" l="1"/>
  <c r="U1457" i="1"/>
  <c r="Q1457" i="1"/>
  <c r="O1459" i="1" l="1"/>
  <c r="U1458" i="1"/>
  <c r="Q1458" i="1"/>
  <c r="O1460" i="1" l="1"/>
  <c r="U1459" i="1"/>
  <c r="Q1459" i="1"/>
  <c r="O1461" i="1" l="1"/>
  <c r="U1460" i="1"/>
  <c r="Q1460" i="1"/>
  <c r="O1462" i="1" l="1"/>
  <c r="U1461" i="1"/>
  <c r="Q1461" i="1"/>
  <c r="O1463" i="1" l="1"/>
  <c r="U1462" i="1"/>
  <c r="Q1462" i="1"/>
  <c r="O1464" i="1" l="1"/>
  <c r="U1463" i="1"/>
  <c r="Q1463" i="1"/>
  <c r="O1465" i="1" l="1"/>
  <c r="U1464" i="1"/>
  <c r="Q1464" i="1"/>
  <c r="O1466" i="1" l="1"/>
  <c r="U1465" i="1"/>
  <c r="Q1465" i="1"/>
  <c r="O1467" i="1" l="1"/>
  <c r="U1466" i="1"/>
  <c r="Q1466" i="1"/>
  <c r="O1468" i="1" l="1"/>
  <c r="U1467" i="1"/>
  <c r="Q1467" i="1"/>
  <c r="O1469" i="1" l="1"/>
  <c r="U1468" i="1"/>
  <c r="Q1468" i="1"/>
  <c r="O1470" i="1" l="1"/>
  <c r="U1469" i="1"/>
  <c r="Q1469" i="1"/>
  <c r="O1471" i="1" l="1"/>
  <c r="U1470" i="1"/>
  <c r="Q1470" i="1"/>
  <c r="O1472" i="1" l="1"/>
  <c r="U1471" i="1"/>
  <c r="Q1471" i="1"/>
  <c r="O1473" i="1" l="1"/>
  <c r="U1472" i="1"/>
  <c r="Q1472" i="1"/>
  <c r="O1474" i="1" l="1"/>
  <c r="U1473" i="1"/>
  <c r="Q1473" i="1"/>
  <c r="O1475" i="1" l="1"/>
  <c r="U1474" i="1"/>
  <c r="Q1474" i="1"/>
  <c r="O1476" i="1" l="1"/>
  <c r="U1475" i="1"/>
  <c r="Q1475" i="1"/>
  <c r="O1477" i="1" l="1"/>
  <c r="U1476" i="1"/>
  <c r="Q1476" i="1"/>
  <c r="O1478" i="1" l="1"/>
  <c r="U1477" i="1"/>
  <c r="Q1477" i="1"/>
  <c r="O1479" i="1" l="1"/>
  <c r="U1478" i="1"/>
  <c r="Q1478" i="1"/>
  <c r="O1480" i="1" l="1"/>
  <c r="U1479" i="1"/>
  <c r="Q1479" i="1"/>
  <c r="O1481" i="1" l="1"/>
  <c r="U1480" i="1"/>
  <c r="Q1480" i="1"/>
  <c r="O1482" i="1" l="1"/>
  <c r="U1481" i="1"/>
  <c r="Q1481" i="1"/>
  <c r="O1483" i="1" l="1"/>
  <c r="U1482" i="1"/>
  <c r="Q1482" i="1"/>
  <c r="O1484" i="1" l="1"/>
  <c r="U1483" i="1"/>
  <c r="Q1483" i="1"/>
  <c r="O1485" i="1" l="1"/>
  <c r="U1484" i="1"/>
  <c r="Q1484" i="1"/>
  <c r="O1486" i="1" l="1"/>
  <c r="U1485" i="1"/>
  <c r="Q1485" i="1"/>
  <c r="O1487" i="1" l="1"/>
  <c r="U1486" i="1"/>
  <c r="Q1486" i="1"/>
  <c r="O1488" i="1" l="1"/>
  <c r="U1487" i="1"/>
  <c r="Q1487" i="1"/>
  <c r="O1489" i="1" l="1"/>
  <c r="U1488" i="1"/>
  <c r="Q1488" i="1"/>
  <c r="O1490" i="1" l="1"/>
  <c r="U1489" i="1"/>
  <c r="Q1489" i="1"/>
  <c r="O1491" i="1" l="1"/>
  <c r="U1490" i="1"/>
  <c r="Q1490" i="1"/>
  <c r="O1492" i="1" l="1"/>
  <c r="U1491" i="1"/>
  <c r="Q1491" i="1"/>
  <c r="O1493" i="1" l="1"/>
  <c r="U1492" i="1"/>
  <c r="Q1492" i="1"/>
  <c r="O1494" i="1" l="1"/>
  <c r="U1493" i="1"/>
  <c r="Q1493" i="1"/>
  <c r="O1495" i="1" l="1"/>
  <c r="U1494" i="1"/>
  <c r="Q1494" i="1"/>
  <c r="O1496" i="1" l="1"/>
  <c r="U1495" i="1"/>
  <c r="Q1495" i="1"/>
  <c r="O1497" i="1" l="1"/>
  <c r="U1496" i="1"/>
  <c r="Q1496" i="1"/>
  <c r="O1498" i="1" l="1"/>
  <c r="U1497" i="1"/>
  <c r="Q1497" i="1"/>
  <c r="O1499" i="1" l="1"/>
  <c r="U1498" i="1"/>
  <c r="Q1498" i="1"/>
  <c r="U1499" i="1" l="1"/>
  <c r="Q1499" i="1"/>
  <c r="O1500" i="1"/>
  <c r="O1501" i="1" l="1"/>
  <c r="U1500" i="1"/>
  <c r="Q1500" i="1"/>
  <c r="O1502" i="1" l="1"/>
  <c r="U1501" i="1"/>
  <c r="Q1501" i="1"/>
  <c r="O1503" i="1" l="1"/>
  <c r="U1502" i="1"/>
  <c r="Q1502" i="1"/>
  <c r="O1504" i="1" l="1"/>
  <c r="U1503" i="1"/>
  <c r="Q1503" i="1"/>
  <c r="O1505" i="1" l="1"/>
  <c r="U1504" i="1"/>
  <c r="Q1504" i="1"/>
  <c r="O1506" i="1" l="1"/>
  <c r="U1505" i="1"/>
  <c r="Q1505" i="1"/>
  <c r="O1507" i="1" l="1"/>
  <c r="U1506" i="1"/>
  <c r="Q1506" i="1"/>
  <c r="O1508" i="1" l="1"/>
  <c r="U1507" i="1"/>
  <c r="Q1507" i="1"/>
  <c r="U1508" i="1" l="1"/>
  <c r="Q1508" i="1"/>
  <c r="Q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<sst xmlns="http://schemas.openxmlformats.org/spreadsheetml/2006/main" count="35" uniqueCount="27">
  <si>
    <t>Valuation Models : Black-Scholes-Merton Model</t>
  </si>
  <si>
    <t>Particulars</t>
  </si>
  <si>
    <t>Values</t>
  </si>
  <si>
    <t>Stock Price</t>
  </si>
  <si>
    <t>Strike Price</t>
  </si>
  <si>
    <t>Maturity</t>
  </si>
  <si>
    <t>Volatility</t>
  </si>
  <si>
    <t>Risk Free Interest Rate</t>
  </si>
  <si>
    <t>Call Option</t>
  </si>
  <si>
    <t>BSM Model</t>
  </si>
  <si>
    <t>d1</t>
  </si>
  <si>
    <t>d2</t>
  </si>
  <si>
    <t>N(d1)</t>
  </si>
  <si>
    <t>N(d2)</t>
  </si>
  <si>
    <t>Option Price</t>
  </si>
  <si>
    <t>Stock Price at T</t>
  </si>
  <si>
    <t>Probabilities</t>
  </si>
  <si>
    <t>Probability Distribution(Log-Normal)</t>
  </si>
  <si>
    <t>Mean</t>
  </si>
  <si>
    <t>SD</t>
  </si>
  <si>
    <t>Sum Total</t>
  </si>
  <si>
    <t>S*N(d1)</t>
  </si>
  <si>
    <t>K*N(d2)</t>
  </si>
  <si>
    <t>Difference</t>
  </si>
  <si>
    <t>Stock Price At T</t>
  </si>
  <si>
    <t>Expected Stock Price at (T=0) if Call is ITM</t>
  </si>
  <si>
    <t>Expected Cashflow if call is ITM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</si>
</sst>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7" formatCode="0.0000"/>
    <numFmt numFmtId="169" formatCode="0.0000000"/>
    <numFmt numFmtId="170" formatCode="0.000000"/>
    <numFmt numFmtId="171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0" fontId="0" fillId="0" borderId="0" xfId="0" applyNumberFormat="1"/>
    <xf numFmtId="9" fontId="0" fillId="0" borderId="0" xfId="0" applyNumberFormat="1"/>
    <xf numFmtId="0" fontId="1" fillId="2" borderId="0" xfId="0" applyFont="1" applyFill="1"/>
    <xf numFmtId="0" fontId="0" fillId="0" borderId="1" xfId="0" applyBorder="1"/>
    <xf numFmtId="0" fontId="1" fillId="2" borderId="0" xfId="0" applyFont="1" applyFill="1" applyAlignment="1">
      <alignment horizontal="right"/>
    </xf>
    <xf numFmtId="0" fontId="1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2" fontId="0" fillId="0" borderId="0" xfId="0" applyNumberFormat="1"/>
    <xf numFmtId="167" fontId="0" fillId="0" borderId="0" xfId="0" applyNumberFormat="1"/>
    <xf numFmtId="169" fontId="0" fillId="0" borderId="0" xfId="0" applyNumberFormat="1"/>
    <xf numFmtId="170" fontId="0" fillId="0" borderId="0" xfId="0" applyNumberFormat="1"/>
    <xf numFmtId="2" fontId="1" fillId="0" borderId="1" xfId="0" applyNumberFormat="1" applyFont="1" applyBorder="1"/>
    <xf numFmtId="0" fontId="1" fillId="0" borderId="0" xfId="0" applyFont="1"/>
    <xf numFmtId="0" fontId="0" fillId="2" borderId="0" xfId="0" applyFill="1"/>
    <xf numFmtId="171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Sheet1!$S$8</c:f>
              <c:strCache>
                <c:ptCount val="1"/>
                <c:pt idx="0">
                  <c:v>S*N(d1)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Sheet1!$O$9:$O$1508</c:f>
              <c:numCache>
                <c:formatCode>General</c:formatCode>
                <c:ptCount val="1500"/>
                <c:pt idx="0">
                  <c:v>1500</c:v>
                </c:pt>
                <c:pt idx="1">
                  <c:v>1499</c:v>
                </c:pt>
                <c:pt idx="2">
                  <c:v>1498</c:v>
                </c:pt>
                <c:pt idx="3">
                  <c:v>1497</c:v>
                </c:pt>
                <c:pt idx="4">
                  <c:v>1496</c:v>
                </c:pt>
                <c:pt idx="5">
                  <c:v>1495</c:v>
                </c:pt>
                <c:pt idx="6">
                  <c:v>1494</c:v>
                </c:pt>
                <c:pt idx="7">
                  <c:v>1493</c:v>
                </c:pt>
                <c:pt idx="8">
                  <c:v>1492</c:v>
                </c:pt>
                <c:pt idx="9">
                  <c:v>1491</c:v>
                </c:pt>
                <c:pt idx="10">
                  <c:v>1490</c:v>
                </c:pt>
                <c:pt idx="11">
                  <c:v>1489</c:v>
                </c:pt>
                <c:pt idx="12">
                  <c:v>1488</c:v>
                </c:pt>
                <c:pt idx="13">
                  <c:v>1487</c:v>
                </c:pt>
                <c:pt idx="14">
                  <c:v>1486</c:v>
                </c:pt>
                <c:pt idx="15">
                  <c:v>1485</c:v>
                </c:pt>
                <c:pt idx="16">
                  <c:v>1484</c:v>
                </c:pt>
                <c:pt idx="17">
                  <c:v>1483</c:v>
                </c:pt>
                <c:pt idx="18">
                  <c:v>1482</c:v>
                </c:pt>
                <c:pt idx="19">
                  <c:v>1481</c:v>
                </c:pt>
                <c:pt idx="20">
                  <c:v>1480</c:v>
                </c:pt>
                <c:pt idx="21">
                  <c:v>1479</c:v>
                </c:pt>
                <c:pt idx="22">
                  <c:v>1478</c:v>
                </c:pt>
                <c:pt idx="23">
                  <c:v>1477</c:v>
                </c:pt>
                <c:pt idx="24">
                  <c:v>1476</c:v>
                </c:pt>
                <c:pt idx="25">
                  <c:v>1475</c:v>
                </c:pt>
                <c:pt idx="26">
                  <c:v>1474</c:v>
                </c:pt>
                <c:pt idx="27">
                  <c:v>1473</c:v>
                </c:pt>
                <c:pt idx="28">
                  <c:v>1472</c:v>
                </c:pt>
                <c:pt idx="29">
                  <c:v>1471</c:v>
                </c:pt>
                <c:pt idx="30">
                  <c:v>1470</c:v>
                </c:pt>
                <c:pt idx="31">
                  <c:v>1469</c:v>
                </c:pt>
                <c:pt idx="32">
                  <c:v>1468</c:v>
                </c:pt>
                <c:pt idx="33">
                  <c:v>1467</c:v>
                </c:pt>
                <c:pt idx="34">
                  <c:v>1466</c:v>
                </c:pt>
                <c:pt idx="35">
                  <c:v>1465</c:v>
                </c:pt>
                <c:pt idx="36">
                  <c:v>1464</c:v>
                </c:pt>
                <c:pt idx="37">
                  <c:v>1463</c:v>
                </c:pt>
                <c:pt idx="38">
                  <c:v>1462</c:v>
                </c:pt>
                <c:pt idx="39">
                  <c:v>1461</c:v>
                </c:pt>
                <c:pt idx="40">
                  <c:v>1460</c:v>
                </c:pt>
                <c:pt idx="41">
                  <c:v>1459</c:v>
                </c:pt>
                <c:pt idx="42">
                  <c:v>1458</c:v>
                </c:pt>
                <c:pt idx="43">
                  <c:v>1457</c:v>
                </c:pt>
                <c:pt idx="44">
                  <c:v>1456</c:v>
                </c:pt>
                <c:pt idx="45">
                  <c:v>1455</c:v>
                </c:pt>
                <c:pt idx="46">
                  <c:v>1454</c:v>
                </c:pt>
                <c:pt idx="47">
                  <c:v>1453</c:v>
                </c:pt>
                <c:pt idx="48">
                  <c:v>1452</c:v>
                </c:pt>
                <c:pt idx="49">
                  <c:v>1451</c:v>
                </c:pt>
                <c:pt idx="50">
                  <c:v>1450</c:v>
                </c:pt>
                <c:pt idx="51">
                  <c:v>1449</c:v>
                </c:pt>
                <c:pt idx="52">
                  <c:v>1448</c:v>
                </c:pt>
                <c:pt idx="53">
                  <c:v>1447</c:v>
                </c:pt>
                <c:pt idx="54">
                  <c:v>1446</c:v>
                </c:pt>
                <c:pt idx="55">
                  <c:v>1445</c:v>
                </c:pt>
                <c:pt idx="56">
                  <c:v>1444</c:v>
                </c:pt>
                <c:pt idx="57">
                  <c:v>1443</c:v>
                </c:pt>
                <c:pt idx="58">
                  <c:v>1442</c:v>
                </c:pt>
                <c:pt idx="59">
                  <c:v>1441</c:v>
                </c:pt>
                <c:pt idx="60">
                  <c:v>1440</c:v>
                </c:pt>
                <c:pt idx="61">
                  <c:v>1439</c:v>
                </c:pt>
                <c:pt idx="62">
                  <c:v>1438</c:v>
                </c:pt>
                <c:pt idx="63">
                  <c:v>1437</c:v>
                </c:pt>
                <c:pt idx="64">
                  <c:v>1436</c:v>
                </c:pt>
                <c:pt idx="65">
                  <c:v>1435</c:v>
                </c:pt>
                <c:pt idx="66">
                  <c:v>1434</c:v>
                </c:pt>
                <c:pt idx="67">
                  <c:v>1433</c:v>
                </c:pt>
                <c:pt idx="68">
                  <c:v>1432</c:v>
                </c:pt>
                <c:pt idx="69">
                  <c:v>1431</c:v>
                </c:pt>
                <c:pt idx="70">
                  <c:v>1430</c:v>
                </c:pt>
                <c:pt idx="71">
                  <c:v>1429</c:v>
                </c:pt>
                <c:pt idx="72">
                  <c:v>1428</c:v>
                </c:pt>
                <c:pt idx="73">
                  <c:v>1427</c:v>
                </c:pt>
                <c:pt idx="74">
                  <c:v>1426</c:v>
                </c:pt>
                <c:pt idx="75">
                  <c:v>1425</c:v>
                </c:pt>
                <c:pt idx="76">
                  <c:v>1424</c:v>
                </c:pt>
                <c:pt idx="77">
                  <c:v>1423</c:v>
                </c:pt>
                <c:pt idx="78">
                  <c:v>1422</c:v>
                </c:pt>
                <c:pt idx="79">
                  <c:v>1421</c:v>
                </c:pt>
                <c:pt idx="80">
                  <c:v>1420</c:v>
                </c:pt>
                <c:pt idx="81">
                  <c:v>1419</c:v>
                </c:pt>
                <c:pt idx="82">
                  <c:v>1418</c:v>
                </c:pt>
                <c:pt idx="83">
                  <c:v>1417</c:v>
                </c:pt>
                <c:pt idx="84">
                  <c:v>1416</c:v>
                </c:pt>
                <c:pt idx="85">
                  <c:v>1415</c:v>
                </c:pt>
                <c:pt idx="86">
                  <c:v>1414</c:v>
                </c:pt>
                <c:pt idx="87">
                  <c:v>1413</c:v>
                </c:pt>
                <c:pt idx="88">
                  <c:v>1412</c:v>
                </c:pt>
                <c:pt idx="89">
                  <c:v>1411</c:v>
                </c:pt>
                <c:pt idx="90">
                  <c:v>1410</c:v>
                </c:pt>
                <c:pt idx="91">
                  <c:v>1409</c:v>
                </c:pt>
                <c:pt idx="92">
                  <c:v>1408</c:v>
                </c:pt>
                <c:pt idx="93">
                  <c:v>1407</c:v>
                </c:pt>
                <c:pt idx="94">
                  <c:v>1406</c:v>
                </c:pt>
                <c:pt idx="95">
                  <c:v>1405</c:v>
                </c:pt>
                <c:pt idx="96">
                  <c:v>1404</c:v>
                </c:pt>
                <c:pt idx="97">
                  <c:v>1403</c:v>
                </c:pt>
                <c:pt idx="98">
                  <c:v>1402</c:v>
                </c:pt>
                <c:pt idx="99">
                  <c:v>1401</c:v>
                </c:pt>
                <c:pt idx="100">
                  <c:v>1400</c:v>
                </c:pt>
                <c:pt idx="101">
                  <c:v>1399</c:v>
                </c:pt>
                <c:pt idx="102">
                  <c:v>1398</c:v>
                </c:pt>
                <c:pt idx="103">
                  <c:v>1397</c:v>
                </c:pt>
                <c:pt idx="104">
                  <c:v>1396</c:v>
                </c:pt>
                <c:pt idx="105">
                  <c:v>1395</c:v>
                </c:pt>
                <c:pt idx="106">
                  <c:v>1394</c:v>
                </c:pt>
                <c:pt idx="107">
                  <c:v>1393</c:v>
                </c:pt>
                <c:pt idx="108">
                  <c:v>1392</c:v>
                </c:pt>
                <c:pt idx="109">
                  <c:v>1391</c:v>
                </c:pt>
                <c:pt idx="110">
                  <c:v>1390</c:v>
                </c:pt>
                <c:pt idx="111">
                  <c:v>1389</c:v>
                </c:pt>
                <c:pt idx="112">
                  <c:v>1388</c:v>
                </c:pt>
                <c:pt idx="113">
                  <c:v>1387</c:v>
                </c:pt>
                <c:pt idx="114">
                  <c:v>1386</c:v>
                </c:pt>
                <c:pt idx="115">
                  <c:v>1385</c:v>
                </c:pt>
                <c:pt idx="116">
                  <c:v>1384</c:v>
                </c:pt>
                <c:pt idx="117">
                  <c:v>1383</c:v>
                </c:pt>
                <c:pt idx="118">
                  <c:v>1382</c:v>
                </c:pt>
                <c:pt idx="119">
                  <c:v>1381</c:v>
                </c:pt>
                <c:pt idx="120">
                  <c:v>1380</c:v>
                </c:pt>
                <c:pt idx="121">
                  <c:v>1379</c:v>
                </c:pt>
                <c:pt idx="122">
                  <c:v>1378</c:v>
                </c:pt>
                <c:pt idx="123">
                  <c:v>1377</c:v>
                </c:pt>
                <c:pt idx="124">
                  <c:v>1376</c:v>
                </c:pt>
                <c:pt idx="125">
                  <c:v>1375</c:v>
                </c:pt>
                <c:pt idx="126">
                  <c:v>1374</c:v>
                </c:pt>
                <c:pt idx="127">
                  <c:v>1373</c:v>
                </c:pt>
                <c:pt idx="128">
                  <c:v>1372</c:v>
                </c:pt>
                <c:pt idx="129">
                  <c:v>1371</c:v>
                </c:pt>
                <c:pt idx="130">
                  <c:v>1370</c:v>
                </c:pt>
                <c:pt idx="131">
                  <c:v>1369</c:v>
                </c:pt>
                <c:pt idx="132">
                  <c:v>1368</c:v>
                </c:pt>
                <c:pt idx="133">
                  <c:v>1367</c:v>
                </c:pt>
                <c:pt idx="134">
                  <c:v>1366</c:v>
                </c:pt>
                <c:pt idx="135">
                  <c:v>1365</c:v>
                </c:pt>
                <c:pt idx="136">
                  <c:v>1364</c:v>
                </c:pt>
                <c:pt idx="137">
                  <c:v>1363</c:v>
                </c:pt>
                <c:pt idx="138">
                  <c:v>1362</c:v>
                </c:pt>
                <c:pt idx="139">
                  <c:v>1361</c:v>
                </c:pt>
                <c:pt idx="140">
                  <c:v>1360</c:v>
                </c:pt>
                <c:pt idx="141">
                  <c:v>1359</c:v>
                </c:pt>
                <c:pt idx="142">
                  <c:v>1358</c:v>
                </c:pt>
                <c:pt idx="143">
                  <c:v>1357</c:v>
                </c:pt>
                <c:pt idx="144">
                  <c:v>1356</c:v>
                </c:pt>
                <c:pt idx="145">
                  <c:v>1355</c:v>
                </c:pt>
                <c:pt idx="146">
                  <c:v>1354</c:v>
                </c:pt>
                <c:pt idx="147">
                  <c:v>1353</c:v>
                </c:pt>
                <c:pt idx="148">
                  <c:v>1352</c:v>
                </c:pt>
                <c:pt idx="149">
                  <c:v>1351</c:v>
                </c:pt>
                <c:pt idx="150">
                  <c:v>1350</c:v>
                </c:pt>
                <c:pt idx="151">
                  <c:v>1349</c:v>
                </c:pt>
                <c:pt idx="152">
                  <c:v>1348</c:v>
                </c:pt>
                <c:pt idx="153">
                  <c:v>1347</c:v>
                </c:pt>
                <c:pt idx="154">
                  <c:v>1346</c:v>
                </c:pt>
                <c:pt idx="155">
                  <c:v>1345</c:v>
                </c:pt>
                <c:pt idx="156">
                  <c:v>1344</c:v>
                </c:pt>
                <c:pt idx="157">
                  <c:v>1343</c:v>
                </c:pt>
                <c:pt idx="158">
                  <c:v>1342</c:v>
                </c:pt>
                <c:pt idx="159">
                  <c:v>1341</c:v>
                </c:pt>
                <c:pt idx="160">
                  <c:v>1340</c:v>
                </c:pt>
                <c:pt idx="161">
                  <c:v>1339</c:v>
                </c:pt>
                <c:pt idx="162">
                  <c:v>1338</c:v>
                </c:pt>
                <c:pt idx="163">
                  <c:v>1337</c:v>
                </c:pt>
                <c:pt idx="164">
                  <c:v>1336</c:v>
                </c:pt>
                <c:pt idx="165">
                  <c:v>1335</c:v>
                </c:pt>
                <c:pt idx="166">
                  <c:v>1334</c:v>
                </c:pt>
                <c:pt idx="167">
                  <c:v>1333</c:v>
                </c:pt>
                <c:pt idx="168">
                  <c:v>1332</c:v>
                </c:pt>
                <c:pt idx="169">
                  <c:v>1331</c:v>
                </c:pt>
                <c:pt idx="170">
                  <c:v>1330</c:v>
                </c:pt>
                <c:pt idx="171">
                  <c:v>1329</c:v>
                </c:pt>
                <c:pt idx="172">
                  <c:v>1328</c:v>
                </c:pt>
                <c:pt idx="173">
                  <c:v>1327</c:v>
                </c:pt>
                <c:pt idx="174">
                  <c:v>1326</c:v>
                </c:pt>
                <c:pt idx="175">
                  <c:v>1325</c:v>
                </c:pt>
                <c:pt idx="176">
                  <c:v>1324</c:v>
                </c:pt>
                <c:pt idx="177">
                  <c:v>1323</c:v>
                </c:pt>
                <c:pt idx="178">
                  <c:v>1322</c:v>
                </c:pt>
                <c:pt idx="179">
                  <c:v>1321</c:v>
                </c:pt>
                <c:pt idx="180">
                  <c:v>1320</c:v>
                </c:pt>
                <c:pt idx="181">
                  <c:v>1319</c:v>
                </c:pt>
                <c:pt idx="182">
                  <c:v>1318</c:v>
                </c:pt>
                <c:pt idx="183">
                  <c:v>1317</c:v>
                </c:pt>
                <c:pt idx="184">
                  <c:v>1316</c:v>
                </c:pt>
                <c:pt idx="185">
                  <c:v>1315</c:v>
                </c:pt>
                <c:pt idx="186">
                  <c:v>1314</c:v>
                </c:pt>
                <c:pt idx="187">
                  <c:v>1313</c:v>
                </c:pt>
                <c:pt idx="188">
                  <c:v>1312</c:v>
                </c:pt>
                <c:pt idx="189">
                  <c:v>1311</c:v>
                </c:pt>
                <c:pt idx="190">
                  <c:v>1310</c:v>
                </c:pt>
                <c:pt idx="191">
                  <c:v>1309</c:v>
                </c:pt>
                <c:pt idx="192">
                  <c:v>1308</c:v>
                </c:pt>
                <c:pt idx="193">
                  <c:v>1307</c:v>
                </c:pt>
                <c:pt idx="194">
                  <c:v>1306</c:v>
                </c:pt>
                <c:pt idx="195">
                  <c:v>1305</c:v>
                </c:pt>
                <c:pt idx="196">
                  <c:v>1304</c:v>
                </c:pt>
                <c:pt idx="197">
                  <c:v>1303</c:v>
                </c:pt>
                <c:pt idx="198">
                  <c:v>1302</c:v>
                </c:pt>
                <c:pt idx="199">
                  <c:v>1301</c:v>
                </c:pt>
                <c:pt idx="200">
                  <c:v>1300</c:v>
                </c:pt>
                <c:pt idx="201">
                  <c:v>1299</c:v>
                </c:pt>
                <c:pt idx="202">
                  <c:v>1298</c:v>
                </c:pt>
                <c:pt idx="203">
                  <c:v>1297</c:v>
                </c:pt>
                <c:pt idx="204">
                  <c:v>1296</c:v>
                </c:pt>
                <c:pt idx="205">
                  <c:v>1295</c:v>
                </c:pt>
                <c:pt idx="206">
                  <c:v>1294</c:v>
                </c:pt>
                <c:pt idx="207">
                  <c:v>1293</c:v>
                </c:pt>
                <c:pt idx="208">
                  <c:v>1292</c:v>
                </c:pt>
                <c:pt idx="209">
                  <c:v>1291</c:v>
                </c:pt>
                <c:pt idx="210">
                  <c:v>1290</c:v>
                </c:pt>
                <c:pt idx="211">
                  <c:v>1289</c:v>
                </c:pt>
                <c:pt idx="212">
                  <c:v>1288</c:v>
                </c:pt>
                <c:pt idx="213">
                  <c:v>1287</c:v>
                </c:pt>
                <c:pt idx="214">
                  <c:v>1286</c:v>
                </c:pt>
                <c:pt idx="215">
                  <c:v>1285</c:v>
                </c:pt>
                <c:pt idx="216">
                  <c:v>1284</c:v>
                </c:pt>
                <c:pt idx="217">
                  <c:v>1283</c:v>
                </c:pt>
                <c:pt idx="218">
                  <c:v>1282</c:v>
                </c:pt>
                <c:pt idx="219">
                  <c:v>1281</c:v>
                </c:pt>
                <c:pt idx="220">
                  <c:v>1280</c:v>
                </c:pt>
                <c:pt idx="221">
                  <c:v>1279</c:v>
                </c:pt>
                <c:pt idx="222">
                  <c:v>1278</c:v>
                </c:pt>
                <c:pt idx="223">
                  <c:v>1277</c:v>
                </c:pt>
                <c:pt idx="224">
                  <c:v>1276</c:v>
                </c:pt>
                <c:pt idx="225">
                  <c:v>1275</c:v>
                </c:pt>
                <c:pt idx="226">
                  <c:v>1274</c:v>
                </c:pt>
                <c:pt idx="227">
                  <c:v>1273</c:v>
                </c:pt>
                <c:pt idx="228">
                  <c:v>1272</c:v>
                </c:pt>
                <c:pt idx="229">
                  <c:v>1271</c:v>
                </c:pt>
                <c:pt idx="230">
                  <c:v>1270</c:v>
                </c:pt>
                <c:pt idx="231">
                  <c:v>1269</c:v>
                </c:pt>
                <c:pt idx="232">
                  <c:v>1268</c:v>
                </c:pt>
                <c:pt idx="233">
                  <c:v>1267</c:v>
                </c:pt>
                <c:pt idx="234">
                  <c:v>1266</c:v>
                </c:pt>
                <c:pt idx="235">
                  <c:v>1265</c:v>
                </c:pt>
                <c:pt idx="236">
                  <c:v>1264</c:v>
                </c:pt>
                <c:pt idx="237">
                  <c:v>1263</c:v>
                </c:pt>
                <c:pt idx="238">
                  <c:v>1262</c:v>
                </c:pt>
                <c:pt idx="239">
                  <c:v>1261</c:v>
                </c:pt>
                <c:pt idx="240">
                  <c:v>1260</c:v>
                </c:pt>
                <c:pt idx="241">
                  <c:v>1259</c:v>
                </c:pt>
                <c:pt idx="242">
                  <c:v>1258</c:v>
                </c:pt>
                <c:pt idx="243">
                  <c:v>1257</c:v>
                </c:pt>
                <c:pt idx="244">
                  <c:v>1256</c:v>
                </c:pt>
                <c:pt idx="245">
                  <c:v>1255</c:v>
                </c:pt>
                <c:pt idx="246">
                  <c:v>1254</c:v>
                </c:pt>
                <c:pt idx="247">
                  <c:v>1253</c:v>
                </c:pt>
                <c:pt idx="248">
                  <c:v>1252</c:v>
                </c:pt>
                <c:pt idx="249">
                  <c:v>1251</c:v>
                </c:pt>
                <c:pt idx="250">
                  <c:v>1250</c:v>
                </c:pt>
                <c:pt idx="251">
                  <c:v>1249</c:v>
                </c:pt>
                <c:pt idx="252">
                  <c:v>1248</c:v>
                </c:pt>
                <c:pt idx="253">
                  <c:v>1247</c:v>
                </c:pt>
                <c:pt idx="254">
                  <c:v>1246</c:v>
                </c:pt>
                <c:pt idx="255">
                  <c:v>1245</c:v>
                </c:pt>
                <c:pt idx="256">
                  <c:v>1244</c:v>
                </c:pt>
                <c:pt idx="257">
                  <c:v>1243</c:v>
                </c:pt>
                <c:pt idx="258">
                  <c:v>1242</c:v>
                </c:pt>
                <c:pt idx="259">
                  <c:v>1241</c:v>
                </c:pt>
                <c:pt idx="260">
                  <c:v>1240</c:v>
                </c:pt>
                <c:pt idx="261">
                  <c:v>1239</c:v>
                </c:pt>
                <c:pt idx="262">
                  <c:v>1238</c:v>
                </c:pt>
                <c:pt idx="263">
                  <c:v>1237</c:v>
                </c:pt>
                <c:pt idx="264">
                  <c:v>1236</c:v>
                </c:pt>
                <c:pt idx="265">
                  <c:v>1235</c:v>
                </c:pt>
                <c:pt idx="266">
                  <c:v>1234</c:v>
                </c:pt>
                <c:pt idx="267">
                  <c:v>1233</c:v>
                </c:pt>
                <c:pt idx="268">
                  <c:v>1232</c:v>
                </c:pt>
                <c:pt idx="269">
                  <c:v>1231</c:v>
                </c:pt>
                <c:pt idx="270">
                  <c:v>1230</c:v>
                </c:pt>
                <c:pt idx="271">
                  <c:v>1229</c:v>
                </c:pt>
                <c:pt idx="272">
                  <c:v>1228</c:v>
                </c:pt>
                <c:pt idx="273">
                  <c:v>1227</c:v>
                </c:pt>
                <c:pt idx="274">
                  <c:v>1226</c:v>
                </c:pt>
                <c:pt idx="275">
                  <c:v>1225</c:v>
                </c:pt>
                <c:pt idx="276">
                  <c:v>1224</c:v>
                </c:pt>
                <c:pt idx="277">
                  <c:v>1223</c:v>
                </c:pt>
                <c:pt idx="278">
                  <c:v>1222</c:v>
                </c:pt>
                <c:pt idx="279">
                  <c:v>1221</c:v>
                </c:pt>
                <c:pt idx="280">
                  <c:v>1220</c:v>
                </c:pt>
                <c:pt idx="281">
                  <c:v>1219</c:v>
                </c:pt>
                <c:pt idx="282">
                  <c:v>1218</c:v>
                </c:pt>
                <c:pt idx="283">
                  <c:v>1217</c:v>
                </c:pt>
                <c:pt idx="284">
                  <c:v>1216</c:v>
                </c:pt>
                <c:pt idx="285">
                  <c:v>1215</c:v>
                </c:pt>
                <c:pt idx="286">
                  <c:v>1214</c:v>
                </c:pt>
                <c:pt idx="287">
                  <c:v>1213</c:v>
                </c:pt>
                <c:pt idx="288">
                  <c:v>1212</c:v>
                </c:pt>
                <c:pt idx="289">
                  <c:v>1211</c:v>
                </c:pt>
                <c:pt idx="290">
                  <c:v>1210</c:v>
                </c:pt>
                <c:pt idx="291">
                  <c:v>1209</c:v>
                </c:pt>
                <c:pt idx="292">
                  <c:v>1208</c:v>
                </c:pt>
                <c:pt idx="293">
                  <c:v>1207</c:v>
                </c:pt>
                <c:pt idx="294">
                  <c:v>1206</c:v>
                </c:pt>
                <c:pt idx="295">
                  <c:v>1205</c:v>
                </c:pt>
                <c:pt idx="296">
                  <c:v>1204</c:v>
                </c:pt>
                <c:pt idx="297">
                  <c:v>1203</c:v>
                </c:pt>
                <c:pt idx="298">
                  <c:v>1202</c:v>
                </c:pt>
                <c:pt idx="299">
                  <c:v>1201</c:v>
                </c:pt>
                <c:pt idx="300">
                  <c:v>1200</c:v>
                </c:pt>
                <c:pt idx="301">
                  <c:v>1199</c:v>
                </c:pt>
                <c:pt idx="302">
                  <c:v>1198</c:v>
                </c:pt>
                <c:pt idx="303">
                  <c:v>1197</c:v>
                </c:pt>
                <c:pt idx="304">
                  <c:v>1196</c:v>
                </c:pt>
                <c:pt idx="305">
                  <c:v>1195</c:v>
                </c:pt>
                <c:pt idx="306">
                  <c:v>1194</c:v>
                </c:pt>
                <c:pt idx="307">
                  <c:v>1193</c:v>
                </c:pt>
                <c:pt idx="308">
                  <c:v>1192</c:v>
                </c:pt>
                <c:pt idx="309">
                  <c:v>1191</c:v>
                </c:pt>
                <c:pt idx="310">
                  <c:v>1190</c:v>
                </c:pt>
                <c:pt idx="311">
                  <c:v>1189</c:v>
                </c:pt>
                <c:pt idx="312">
                  <c:v>1188</c:v>
                </c:pt>
                <c:pt idx="313">
                  <c:v>1187</c:v>
                </c:pt>
                <c:pt idx="314">
                  <c:v>1186</c:v>
                </c:pt>
                <c:pt idx="315">
                  <c:v>1185</c:v>
                </c:pt>
                <c:pt idx="316">
                  <c:v>1184</c:v>
                </c:pt>
                <c:pt idx="317">
                  <c:v>1183</c:v>
                </c:pt>
                <c:pt idx="318">
                  <c:v>1182</c:v>
                </c:pt>
                <c:pt idx="319">
                  <c:v>1181</c:v>
                </c:pt>
                <c:pt idx="320">
                  <c:v>1180</c:v>
                </c:pt>
                <c:pt idx="321">
                  <c:v>1179</c:v>
                </c:pt>
                <c:pt idx="322">
                  <c:v>1178</c:v>
                </c:pt>
                <c:pt idx="323">
                  <c:v>1177</c:v>
                </c:pt>
                <c:pt idx="324">
                  <c:v>1176</c:v>
                </c:pt>
                <c:pt idx="325">
                  <c:v>1175</c:v>
                </c:pt>
                <c:pt idx="326">
                  <c:v>1174</c:v>
                </c:pt>
                <c:pt idx="327">
                  <c:v>1173</c:v>
                </c:pt>
                <c:pt idx="328">
                  <c:v>1172</c:v>
                </c:pt>
                <c:pt idx="329">
                  <c:v>1171</c:v>
                </c:pt>
                <c:pt idx="330">
                  <c:v>1170</c:v>
                </c:pt>
                <c:pt idx="331">
                  <c:v>1169</c:v>
                </c:pt>
                <c:pt idx="332">
                  <c:v>1168</c:v>
                </c:pt>
                <c:pt idx="333">
                  <c:v>1167</c:v>
                </c:pt>
                <c:pt idx="334">
                  <c:v>1166</c:v>
                </c:pt>
                <c:pt idx="335">
                  <c:v>1165</c:v>
                </c:pt>
                <c:pt idx="336">
                  <c:v>1164</c:v>
                </c:pt>
                <c:pt idx="337">
                  <c:v>1163</c:v>
                </c:pt>
                <c:pt idx="338">
                  <c:v>1162</c:v>
                </c:pt>
                <c:pt idx="339">
                  <c:v>1161</c:v>
                </c:pt>
                <c:pt idx="340">
                  <c:v>1160</c:v>
                </c:pt>
                <c:pt idx="341">
                  <c:v>1159</c:v>
                </c:pt>
                <c:pt idx="342">
                  <c:v>1158</c:v>
                </c:pt>
                <c:pt idx="343">
                  <c:v>1157</c:v>
                </c:pt>
                <c:pt idx="344">
                  <c:v>1156</c:v>
                </c:pt>
                <c:pt idx="345">
                  <c:v>1155</c:v>
                </c:pt>
                <c:pt idx="346">
                  <c:v>1154</c:v>
                </c:pt>
                <c:pt idx="347">
                  <c:v>1153</c:v>
                </c:pt>
                <c:pt idx="348">
                  <c:v>1152</c:v>
                </c:pt>
                <c:pt idx="349">
                  <c:v>1151</c:v>
                </c:pt>
                <c:pt idx="350">
                  <c:v>1150</c:v>
                </c:pt>
                <c:pt idx="351">
                  <c:v>1149</c:v>
                </c:pt>
                <c:pt idx="352">
                  <c:v>1148</c:v>
                </c:pt>
                <c:pt idx="353">
                  <c:v>1147</c:v>
                </c:pt>
                <c:pt idx="354">
                  <c:v>1146</c:v>
                </c:pt>
                <c:pt idx="355">
                  <c:v>1145</c:v>
                </c:pt>
                <c:pt idx="356">
                  <c:v>1144</c:v>
                </c:pt>
                <c:pt idx="357">
                  <c:v>1143</c:v>
                </c:pt>
                <c:pt idx="358">
                  <c:v>1142</c:v>
                </c:pt>
                <c:pt idx="359">
                  <c:v>1141</c:v>
                </c:pt>
                <c:pt idx="360">
                  <c:v>1140</c:v>
                </c:pt>
                <c:pt idx="361">
                  <c:v>1139</c:v>
                </c:pt>
                <c:pt idx="362">
                  <c:v>1138</c:v>
                </c:pt>
                <c:pt idx="363">
                  <c:v>1137</c:v>
                </c:pt>
                <c:pt idx="364">
                  <c:v>1136</c:v>
                </c:pt>
                <c:pt idx="365">
                  <c:v>1135</c:v>
                </c:pt>
                <c:pt idx="366">
                  <c:v>1134</c:v>
                </c:pt>
                <c:pt idx="367">
                  <c:v>1133</c:v>
                </c:pt>
                <c:pt idx="368">
                  <c:v>1132</c:v>
                </c:pt>
                <c:pt idx="369">
                  <c:v>1131</c:v>
                </c:pt>
                <c:pt idx="370">
                  <c:v>1130</c:v>
                </c:pt>
                <c:pt idx="371">
                  <c:v>1129</c:v>
                </c:pt>
                <c:pt idx="372">
                  <c:v>1128</c:v>
                </c:pt>
                <c:pt idx="373">
                  <c:v>1127</c:v>
                </c:pt>
                <c:pt idx="374">
                  <c:v>1126</c:v>
                </c:pt>
                <c:pt idx="375">
                  <c:v>1125</c:v>
                </c:pt>
                <c:pt idx="376">
                  <c:v>1124</c:v>
                </c:pt>
                <c:pt idx="377">
                  <c:v>1123</c:v>
                </c:pt>
                <c:pt idx="378">
                  <c:v>1122</c:v>
                </c:pt>
                <c:pt idx="379">
                  <c:v>1121</c:v>
                </c:pt>
                <c:pt idx="380">
                  <c:v>1120</c:v>
                </c:pt>
                <c:pt idx="381">
                  <c:v>1119</c:v>
                </c:pt>
                <c:pt idx="382">
                  <c:v>1118</c:v>
                </c:pt>
                <c:pt idx="383">
                  <c:v>1117</c:v>
                </c:pt>
                <c:pt idx="384">
                  <c:v>1116</c:v>
                </c:pt>
                <c:pt idx="385">
                  <c:v>1115</c:v>
                </c:pt>
                <c:pt idx="386">
                  <c:v>1114</c:v>
                </c:pt>
                <c:pt idx="387">
                  <c:v>1113</c:v>
                </c:pt>
                <c:pt idx="388">
                  <c:v>1112</c:v>
                </c:pt>
                <c:pt idx="389">
                  <c:v>1111</c:v>
                </c:pt>
                <c:pt idx="390">
                  <c:v>1110</c:v>
                </c:pt>
                <c:pt idx="391">
                  <c:v>1109</c:v>
                </c:pt>
                <c:pt idx="392">
                  <c:v>1108</c:v>
                </c:pt>
                <c:pt idx="393">
                  <c:v>1107</c:v>
                </c:pt>
                <c:pt idx="394">
                  <c:v>1106</c:v>
                </c:pt>
                <c:pt idx="395">
                  <c:v>1105</c:v>
                </c:pt>
                <c:pt idx="396">
                  <c:v>1104</c:v>
                </c:pt>
                <c:pt idx="397">
                  <c:v>1103</c:v>
                </c:pt>
                <c:pt idx="398">
                  <c:v>1102</c:v>
                </c:pt>
                <c:pt idx="399">
                  <c:v>1101</c:v>
                </c:pt>
                <c:pt idx="400">
                  <c:v>1100</c:v>
                </c:pt>
                <c:pt idx="401">
                  <c:v>1099</c:v>
                </c:pt>
                <c:pt idx="402">
                  <c:v>1098</c:v>
                </c:pt>
                <c:pt idx="403">
                  <c:v>1097</c:v>
                </c:pt>
                <c:pt idx="404">
                  <c:v>1096</c:v>
                </c:pt>
                <c:pt idx="405">
                  <c:v>1095</c:v>
                </c:pt>
                <c:pt idx="406">
                  <c:v>1094</c:v>
                </c:pt>
                <c:pt idx="407">
                  <c:v>1093</c:v>
                </c:pt>
                <c:pt idx="408">
                  <c:v>1092</c:v>
                </c:pt>
                <c:pt idx="409">
                  <c:v>1091</c:v>
                </c:pt>
                <c:pt idx="410">
                  <c:v>1090</c:v>
                </c:pt>
                <c:pt idx="411">
                  <c:v>1089</c:v>
                </c:pt>
                <c:pt idx="412">
                  <c:v>1088</c:v>
                </c:pt>
                <c:pt idx="413">
                  <c:v>1087</c:v>
                </c:pt>
                <c:pt idx="414">
                  <c:v>1086</c:v>
                </c:pt>
                <c:pt idx="415">
                  <c:v>1085</c:v>
                </c:pt>
                <c:pt idx="416">
                  <c:v>1084</c:v>
                </c:pt>
                <c:pt idx="417">
                  <c:v>1083</c:v>
                </c:pt>
                <c:pt idx="418">
                  <c:v>1082</c:v>
                </c:pt>
                <c:pt idx="419">
                  <c:v>1081</c:v>
                </c:pt>
                <c:pt idx="420">
                  <c:v>1080</c:v>
                </c:pt>
                <c:pt idx="421">
                  <c:v>1079</c:v>
                </c:pt>
                <c:pt idx="422">
                  <c:v>1078</c:v>
                </c:pt>
                <c:pt idx="423">
                  <c:v>1077</c:v>
                </c:pt>
                <c:pt idx="424">
                  <c:v>1076</c:v>
                </c:pt>
                <c:pt idx="425">
                  <c:v>1075</c:v>
                </c:pt>
                <c:pt idx="426">
                  <c:v>1074</c:v>
                </c:pt>
                <c:pt idx="427">
                  <c:v>1073</c:v>
                </c:pt>
                <c:pt idx="428">
                  <c:v>1072</c:v>
                </c:pt>
                <c:pt idx="429">
                  <c:v>1071</c:v>
                </c:pt>
                <c:pt idx="430">
                  <c:v>1070</c:v>
                </c:pt>
                <c:pt idx="431">
                  <c:v>1069</c:v>
                </c:pt>
                <c:pt idx="432">
                  <c:v>1068</c:v>
                </c:pt>
                <c:pt idx="433">
                  <c:v>1067</c:v>
                </c:pt>
                <c:pt idx="434">
                  <c:v>1066</c:v>
                </c:pt>
                <c:pt idx="435">
                  <c:v>1065</c:v>
                </c:pt>
                <c:pt idx="436">
                  <c:v>1064</c:v>
                </c:pt>
                <c:pt idx="437">
                  <c:v>1063</c:v>
                </c:pt>
                <c:pt idx="438">
                  <c:v>1062</c:v>
                </c:pt>
                <c:pt idx="439">
                  <c:v>1061</c:v>
                </c:pt>
                <c:pt idx="440">
                  <c:v>1060</c:v>
                </c:pt>
                <c:pt idx="441">
                  <c:v>1059</c:v>
                </c:pt>
                <c:pt idx="442">
                  <c:v>1058</c:v>
                </c:pt>
                <c:pt idx="443">
                  <c:v>1057</c:v>
                </c:pt>
                <c:pt idx="444">
                  <c:v>1056</c:v>
                </c:pt>
                <c:pt idx="445">
                  <c:v>1055</c:v>
                </c:pt>
                <c:pt idx="446">
                  <c:v>1054</c:v>
                </c:pt>
                <c:pt idx="447">
                  <c:v>1053</c:v>
                </c:pt>
                <c:pt idx="448">
                  <c:v>1052</c:v>
                </c:pt>
                <c:pt idx="449">
                  <c:v>1051</c:v>
                </c:pt>
                <c:pt idx="450">
                  <c:v>1050</c:v>
                </c:pt>
                <c:pt idx="451">
                  <c:v>1049</c:v>
                </c:pt>
                <c:pt idx="452">
                  <c:v>1048</c:v>
                </c:pt>
                <c:pt idx="453">
                  <c:v>1047</c:v>
                </c:pt>
                <c:pt idx="454">
                  <c:v>1046</c:v>
                </c:pt>
                <c:pt idx="455">
                  <c:v>1045</c:v>
                </c:pt>
                <c:pt idx="456">
                  <c:v>1044</c:v>
                </c:pt>
                <c:pt idx="457">
                  <c:v>1043</c:v>
                </c:pt>
                <c:pt idx="458">
                  <c:v>1042</c:v>
                </c:pt>
                <c:pt idx="459">
                  <c:v>1041</c:v>
                </c:pt>
                <c:pt idx="460">
                  <c:v>1040</c:v>
                </c:pt>
                <c:pt idx="461">
                  <c:v>1039</c:v>
                </c:pt>
                <c:pt idx="462">
                  <c:v>1038</c:v>
                </c:pt>
                <c:pt idx="463">
                  <c:v>1037</c:v>
                </c:pt>
                <c:pt idx="464">
                  <c:v>1036</c:v>
                </c:pt>
                <c:pt idx="465">
                  <c:v>1035</c:v>
                </c:pt>
                <c:pt idx="466">
                  <c:v>1034</c:v>
                </c:pt>
                <c:pt idx="467">
                  <c:v>1033</c:v>
                </c:pt>
                <c:pt idx="468">
                  <c:v>1032</c:v>
                </c:pt>
                <c:pt idx="469">
                  <c:v>1031</c:v>
                </c:pt>
                <c:pt idx="470">
                  <c:v>1030</c:v>
                </c:pt>
                <c:pt idx="471">
                  <c:v>1029</c:v>
                </c:pt>
                <c:pt idx="472">
                  <c:v>1028</c:v>
                </c:pt>
                <c:pt idx="473">
                  <c:v>1027</c:v>
                </c:pt>
                <c:pt idx="474">
                  <c:v>1026</c:v>
                </c:pt>
                <c:pt idx="475">
                  <c:v>1025</c:v>
                </c:pt>
                <c:pt idx="476">
                  <c:v>1024</c:v>
                </c:pt>
                <c:pt idx="477">
                  <c:v>1023</c:v>
                </c:pt>
                <c:pt idx="478">
                  <c:v>1022</c:v>
                </c:pt>
                <c:pt idx="479">
                  <c:v>1021</c:v>
                </c:pt>
                <c:pt idx="480">
                  <c:v>1020</c:v>
                </c:pt>
                <c:pt idx="481">
                  <c:v>1019</c:v>
                </c:pt>
                <c:pt idx="482">
                  <c:v>1018</c:v>
                </c:pt>
                <c:pt idx="483">
                  <c:v>1017</c:v>
                </c:pt>
                <c:pt idx="484">
                  <c:v>1016</c:v>
                </c:pt>
                <c:pt idx="485">
                  <c:v>1015</c:v>
                </c:pt>
                <c:pt idx="486">
                  <c:v>1014</c:v>
                </c:pt>
                <c:pt idx="487">
                  <c:v>1013</c:v>
                </c:pt>
                <c:pt idx="488">
                  <c:v>1012</c:v>
                </c:pt>
                <c:pt idx="489">
                  <c:v>1011</c:v>
                </c:pt>
                <c:pt idx="490">
                  <c:v>1010</c:v>
                </c:pt>
                <c:pt idx="491">
                  <c:v>1009</c:v>
                </c:pt>
                <c:pt idx="492">
                  <c:v>1008</c:v>
                </c:pt>
                <c:pt idx="493">
                  <c:v>1007</c:v>
                </c:pt>
                <c:pt idx="494">
                  <c:v>1006</c:v>
                </c:pt>
                <c:pt idx="495">
                  <c:v>1005</c:v>
                </c:pt>
                <c:pt idx="496">
                  <c:v>1004</c:v>
                </c:pt>
                <c:pt idx="497">
                  <c:v>1003</c:v>
                </c:pt>
                <c:pt idx="498">
                  <c:v>1002</c:v>
                </c:pt>
                <c:pt idx="499">
                  <c:v>1001</c:v>
                </c:pt>
                <c:pt idx="500">
                  <c:v>1000</c:v>
                </c:pt>
                <c:pt idx="501">
                  <c:v>999</c:v>
                </c:pt>
                <c:pt idx="502">
                  <c:v>998</c:v>
                </c:pt>
                <c:pt idx="503">
                  <c:v>997</c:v>
                </c:pt>
                <c:pt idx="504">
                  <c:v>996</c:v>
                </c:pt>
                <c:pt idx="505">
                  <c:v>995</c:v>
                </c:pt>
                <c:pt idx="506">
                  <c:v>994</c:v>
                </c:pt>
                <c:pt idx="507">
                  <c:v>993</c:v>
                </c:pt>
                <c:pt idx="508">
                  <c:v>992</c:v>
                </c:pt>
                <c:pt idx="509">
                  <c:v>991</c:v>
                </c:pt>
                <c:pt idx="510">
                  <c:v>990</c:v>
                </c:pt>
                <c:pt idx="511">
                  <c:v>989</c:v>
                </c:pt>
                <c:pt idx="512">
                  <c:v>988</c:v>
                </c:pt>
                <c:pt idx="513">
                  <c:v>987</c:v>
                </c:pt>
                <c:pt idx="514">
                  <c:v>986</c:v>
                </c:pt>
                <c:pt idx="515">
                  <c:v>985</c:v>
                </c:pt>
                <c:pt idx="516">
                  <c:v>984</c:v>
                </c:pt>
                <c:pt idx="517">
                  <c:v>983</c:v>
                </c:pt>
                <c:pt idx="518">
                  <c:v>982</c:v>
                </c:pt>
                <c:pt idx="519">
                  <c:v>981</c:v>
                </c:pt>
                <c:pt idx="520">
                  <c:v>980</c:v>
                </c:pt>
                <c:pt idx="521">
                  <c:v>979</c:v>
                </c:pt>
                <c:pt idx="522">
                  <c:v>978</c:v>
                </c:pt>
                <c:pt idx="523">
                  <c:v>977</c:v>
                </c:pt>
                <c:pt idx="524">
                  <c:v>976</c:v>
                </c:pt>
                <c:pt idx="525">
                  <c:v>975</c:v>
                </c:pt>
                <c:pt idx="526">
                  <c:v>974</c:v>
                </c:pt>
                <c:pt idx="527">
                  <c:v>973</c:v>
                </c:pt>
                <c:pt idx="528">
                  <c:v>972</c:v>
                </c:pt>
                <c:pt idx="529">
                  <c:v>971</c:v>
                </c:pt>
                <c:pt idx="530">
                  <c:v>970</c:v>
                </c:pt>
                <c:pt idx="531">
                  <c:v>969</c:v>
                </c:pt>
                <c:pt idx="532">
                  <c:v>968</c:v>
                </c:pt>
                <c:pt idx="533">
                  <c:v>967</c:v>
                </c:pt>
                <c:pt idx="534">
                  <c:v>966</c:v>
                </c:pt>
                <c:pt idx="535">
                  <c:v>965</c:v>
                </c:pt>
                <c:pt idx="536">
                  <c:v>964</c:v>
                </c:pt>
                <c:pt idx="537">
                  <c:v>963</c:v>
                </c:pt>
                <c:pt idx="538">
                  <c:v>962</c:v>
                </c:pt>
                <c:pt idx="539">
                  <c:v>961</c:v>
                </c:pt>
                <c:pt idx="540">
                  <c:v>960</c:v>
                </c:pt>
                <c:pt idx="541">
                  <c:v>959</c:v>
                </c:pt>
                <c:pt idx="542">
                  <c:v>958</c:v>
                </c:pt>
                <c:pt idx="543">
                  <c:v>957</c:v>
                </c:pt>
                <c:pt idx="544">
                  <c:v>956</c:v>
                </c:pt>
                <c:pt idx="545">
                  <c:v>955</c:v>
                </c:pt>
                <c:pt idx="546">
                  <c:v>954</c:v>
                </c:pt>
                <c:pt idx="547">
                  <c:v>953</c:v>
                </c:pt>
                <c:pt idx="548">
                  <c:v>952</c:v>
                </c:pt>
                <c:pt idx="549">
                  <c:v>951</c:v>
                </c:pt>
                <c:pt idx="550">
                  <c:v>950</c:v>
                </c:pt>
                <c:pt idx="551">
                  <c:v>949</c:v>
                </c:pt>
                <c:pt idx="552">
                  <c:v>948</c:v>
                </c:pt>
                <c:pt idx="553">
                  <c:v>947</c:v>
                </c:pt>
                <c:pt idx="554">
                  <c:v>946</c:v>
                </c:pt>
                <c:pt idx="555">
                  <c:v>945</c:v>
                </c:pt>
                <c:pt idx="556">
                  <c:v>944</c:v>
                </c:pt>
                <c:pt idx="557">
                  <c:v>943</c:v>
                </c:pt>
                <c:pt idx="558">
                  <c:v>942</c:v>
                </c:pt>
                <c:pt idx="559">
                  <c:v>941</c:v>
                </c:pt>
                <c:pt idx="560">
                  <c:v>940</c:v>
                </c:pt>
                <c:pt idx="561">
                  <c:v>939</c:v>
                </c:pt>
                <c:pt idx="562">
                  <c:v>938</c:v>
                </c:pt>
                <c:pt idx="563">
                  <c:v>937</c:v>
                </c:pt>
                <c:pt idx="564">
                  <c:v>936</c:v>
                </c:pt>
                <c:pt idx="565">
                  <c:v>935</c:v>
                </c:pt>
                <c:pt idx="566">
                  <c:v>934</c:v>
                </c:pt>
                <c:pt idx="567">
                  <c:v>933</c:v>
                </c:pt>
                <c:pt idx="568">
                  <c:v>932</c:v>
                </c:pt>
                <c:pt idx="569">
                  <c:v>931</c:v>
                </c:pt>
                <c:pt idx="570">
                  <c:v>930</c:v>
                </c:pt>
                <c:pt idx="571">
                  <c:v>929</c:v>
                </c:pt>
                <c:pt idx="572">
                  <c:v>928</c:v>
                </c:pt>
                <c:pt idx="573">
                  <c:v>927</c:v>
                </c:pt>
                <c:pt idx="574">
                  <c:v>926</c:v>
                </c:pt>
                <c:pt idx="575">
                  <c:v>925</c:v>
                </c:pt>
                <c:pt idx="576">
                  <c:v>924</c:v>
                </c:pt>
                <c:pt idx="577">
                  <c:v>923</c:v>
                </c:pt>
                <c:pt idx="578">
                  <c:v>922</c:v>
                </c:pt>
                <c:pt idx="579">
                  <c:v>921</c:v>
                </c:pt>
                <c:pt idx="580">
                  <c:v>920</c:v>
                </c:pt>
                <c:pt idx="581">
                  <c:v>919</c:v>
                </c:pt>
                <c:pt idx="582">
                  <c:v>918</c:v>
                </c:pt>
                <c:pt idx="583">
                  <c:v>917</c:v>
                </c:pt>
                <c:pt idx="584">
                  <c:v>916</c:v>
                </c:pt>
                <c:pt idx="585">
                  <c:v>915</c:v>
                </c:pt>
                <c:pt idx="586">
                  <c:v>914</c:v>
                </c:pt>
                <c:pt idx="587">
                  <c:v>913</c:v>
                </c:pt>
                <c:pt idx="588">
                  <c:v>912</c:v>
                </c:pt>
                <c:pt idx="589">
                  <c:v>911</c:v>
                </c:pt>
                <c:pt idx="590">
                  <c:v>910</c:v>
                </c:pt>
                <c:pt idx="591">
                  <c:v>909</c:v>
                </c:pt>
                <c:pt idx="592">
                  <c:v>908</c:v>
                </c:pt>
                <c:pt idx="593">
                  <c:v>907</c:v>
                </c:pt>
                <c:pt idx="594">
                  <c:v>906</c:v>
                </c:pt>
                <c:pt idx="595">
                  <c:v>905</c:v>
                </c:pt>
                <c:pt idx="596">
                  <c:v>904</c:v>
                </c:pt>
                <c:pt idx="597">
                  <c:v>903</c:v>
                </c:pt>
                <c:pt idx="598">
                  <c:v>902</c:v>
                </c:pt>
                <c:pt idx="599">
                  <c:v>901</c:v>
                </c:pt>
                <c:pt idx="600">
                  <c:v>900</c:v>
                </c:pt>
                <c:pt idx="601">
                  <c:v>899</c:v>
                </c:pt>
                <c:pt idx="602">
                  <c:v>898</c:v>
                </c:pt>
                <c:pt idx="603">
                  <c:v>897</c:v>
                </c:pt>
                <c:pt idx="604">
                  <c:v>896</c:v>
                </c:pt>
                <c:pt idx="605">
                  <c:v>895</c:v>
                </c:pt>
                <c:pt idx="606">
                  <c:v>894</c:v>
                </c:pt>
                <c:pt idx="607">
                  <c:v>893</c:v>
                </c:pt>
                <c:pt idx="608">
                  <c:v>892</c:v>
                </c:pt>
                <c:pt idx="609">
                  <c:v>891</c:v>
                </c:pt>
                <c:pt idx="610">
                  <c:v>890</c:v>
                </c:pt>
                <c:pt idx="611">
                  <c:v>889</c:v>
                </c:pt>
                <c:pt idx="612">
                  <c:v>888</c:v>
                </c:pt>
                <c:pt idx="613">
                  <c:v>887</c:v>
                </c:pt>
                <c:pt idx="614">
                  <c:v>886</c:v>
                </c:pt>
                <c:pt idx="615">
                  <c:v>885</c:v>
                </c:pt>
                <c:pt idx="616">
                  <c:v>884</c:v>
                </c:pt>
                <c:pt idx="617">
                  <c:v>883</c:v>
                </c:pt>
                <c:pt idx="618">
                  <c:v>882</c:v>
                </c:pt>
                <c:pt idx="619">
                  <c:v>881</c:v>
                </c:pt>
                <c:pt idx="620">
                  <c:v>880</c:v>
                </c:pt>
                <c:pt idx="621">
                  <c:v>879</c:v>
                </c:pt>
                <c:pt idx="622">
                  <c:v>878</c:v>
                </c:pt>
                <c:pt idx="623">
                  <c:v>877</c:v>
                </c:pt>
                <c:pt idx="624">
                  <c:v>876</c:v>
                </c:pt>
                <c:pt idx="625">
                  <c:v>875</c:v>
                </c:pt>
                <c:pt idx="626">
                  <c:v>874</c:v>
                </c:pt>
                <c:pt idx="627">
                  <c:v>873</c:v>
                </c:pt>
                <c:pt idx="628">
                  <c:v>872</c:v>
                </c:pt>
                <c:pt idx="629">
                  <c:v>871</c:v>
                </c:pt>
                <c:pt idx="630">
                  <c:v>870</c:v>
                </c:pt>
                <c:pt idx="631">
                  <c:v>869</c:v>
                </c:pt>
                <c:pt idx="632">
                  <c:v>868</c:v>
                </c:pt>
                <c:pt idx="633">
                  <c:v>867</c:v>
                </c:pt>
                <c:pt idx="634">
                  <c:v>866</c:v>
                </c:pt>
                <c:pt idx="635">
                  <c:v>865</c:v>
                </c:pt>
                <c:pt idx="636">
                  <c:v>864</c:v>
                </c:pt>
                <c:pt idx="637">
                  <c:v>863</c:v>
                </c:pt>
                <c:pt idx="638">
                  <c:v>862</c:v>
                </c:pt>
                <c:pt idx="639">
                  <c:v>861</c:v>
                </c:pt>
                <c:pt idx="640">
                  <c:v>860</c:v>
                </c:pt>
                <c:pt idx="641">
                  <c:v>859</c:v>
                </c:pt>
                <c:pt idx="642">
                  <c:v>858</c:v>
                </c:pt>
                <c:pt idx="643">
                  <c:v>857</c:v>
                </c:pt>
                <c:pt idx="644">
                  <c:v>856</c:v>
                </c:pt>
                <c:pt idx="645">
                  <c:v>855</c:v>
                </c:pt>
                <c:pt idx="646">
                  <c:v>854</c:v>
                </c:pt>
                <c:pt idx="647">
                  <c:v>853</c:v>
                </c:pt>
                <c:pt idx="648">
                  <c:v>852</c:v>
                </c:pt>
                <c:pt idx="649">
                  <c:v>851</c:v>
                </c:pt>
                <c:pt idx="650">
                  <c:v>850</c:v>
                </c:pt>
                <c:pt idx="651">
                  <c:v>849</c:v>
                </c:pt>
                <c:pt idx="652">
                  <c:v>848</c:v>
                </c:pt>
                <c:pt idx="653">
                  <c:v>847</c:v>
                </c:pt>
                <c:pt idx="654">
                  <c:v>846</c:v>
                </c:pt>
                <c:pt idx="655">
                  <c:v>845</c:v>
                </c:pt>
                <c:pt idx="656">
                  <c:v>844</c:v>
                </c:pt>
                <c:pt idx="657">
                  <c:v>843</c:v>
                </c:pt>
                <c:pt idx="658">
                  <c:v>842</c:v>
                </c:pt>
                <c:pt idx="659">
                  <c:v>841</c:v>
                </c:pt>
                <c:pt idx="660">
                  <c:v>840</c:v>
                </c:pt>
                <c:pt idx="661">
                  <c:v>839</c:v>
                </c:pt>
                <c:pt idx="662">
                  <c:v>838</c:v>
                </c:pt>
                <c:pt idx="663">
                  <c:v>837</c:v>
                </c:pt>
                <c:pt idx="664">
                  <c:v>836</c:v>
                </c:pt>
                <c:pt idx="665">
                  <c:v>835</c:v>
                </c:pt>
                <c:pt idx="666">
                  <c:v>834</c:v>
                </c:pt>
                <c:pt idx="667">
                  <c:v>833</c:v>
                </c:pt>
                <c:pt idx="668">
                  <c:v>832</c:v>
                </c:pt>
                <c:pt idx="669">
                  <c:v>831</c:v>
                </c:pt>
                <c:pt idx="670">
                  <c:v>830</c:v>
                </c:pt>
                <c:pt idx="671">
                  <c:v>829</c:v>
                </c:pt>
                <c:pt idx="672">
                  <c:v>828</c:v>
                </c:pt>
                <c:pt idx="673">
                  <c:v>827</c:v>
                </c:pt>
                <c:pt idx="674">
                  <c:v>826</c:v>
                </c:pt>
                <c:pt idx="675">
                  <c:v>825</c:v>
                </c:pt>
                <c:pt idx="676">
                  <c:v>824</c:v>
                </c:pt>
                <c:pt idx="677">
                  <c:v>823</c:v>
                </c:pt>
                <c:pt idx="678">
                  <c:v>822</c:v>
                </c:pt>
                <c:pt idx="679">
                  <c:v>821</c:v>
                </c:pt>
                <c:pt idx="680">
                  <c:v>820</c:v>
                </c:pt>
                <c:pt idx="681">
                  <c:v>819</c:v>
                </c:pt>
                <c:pt idx="682">
                  <c:v>818</c:v>
                </c:pt>
                <c:pt idx="683">
                  <c:v>817</c:v>
                </c:pt>
                <c:pt idx="684">
                  <c:v>816</c:v>
                </c:pt>
                <c:pt idx="685">
                  <c:v>815</c:v>
                </c:pt>
                <c:pt idx="686">
                  <c:v>814</c:v>
                </c:pt>
                <c:pt idx="687">
                  <c:v>813</c:v>
                </c:pt>
                <c:pt idx="688">
                  <c:v>812</c:v>
                </c:pt>
                <c:pt idx="689">
                  <c:v>811</c:v>
                </c:pt>
                <c:pt idx="690">
                  <c:v>810</c:v>
                </c:pt>
                <c:pt idx="691">
                  <c:v>809</c:v>
                </c:pt>
                <c:pt idx="692">
                  <c:v>808</c:v>
                </c:pt>
                <c:pt idx="693">
                  <c:v>807</c:v>
                </c:pt>
                <c:pt idx="694">
                  <c:v>806</c:v>
                </c:pt>
                <c:pt idx="695">
                  <c:v>805</c:v>
                </c:pt>
                <c:pt idx="696">
                  <c:v>804</c:v>
                </c:pt>
                <c:pt idx="697">
                  <c:v>803</c:v>
                </c:pt>
                <c:pt idx="698">
                  <c:v>802</c:v>
                </c:pt>
                <c:pt idx="699">
                  <c:v>801</c:v>
                </c:pt>
                <c:pt idx="700">
                  <c:v>800</c:v>
                </c:pt>
                <c:pt idx="701">
                  <c:v>799</c:v>
                </c:pt>
                <c:pt idx="702">
                  <c:v>798</c:v>
                </c:pt>
                <c:pt idx="703">
                  <c:v>797</c:v>
                </c:pt>
                <c:pt idx="704">
                  <c:v>796</c:v>
                </c:pt>
                <c:pt idx="705">
                  <c:v>795</c:v>
                </c:pt>
                <c:pt idx="706">
                  <c:v>794</c:v>
                </c:pt>
                <c:pt idx="707">
                  <c:v>793</c:v>
                </c:pt>
                <c:pt idx="708">
                  <c:v>792</c:v>
                </c:pt>
                <c:pt idx="709">
                  <c:v>791</c:v>
                </c:pt>
                <c:pt idx="710">
                  <c:v>790</c:v>
                </c:pt>
                <c:pt idx="711">
                  <c:v>789</c:v>
                </c:pt>
                <c:pt idx="712">
                  <c:v>788</c:v>
                </c:pt>
                <c:pt idx="713">
                  <c:v>787</c:v>
                </c:pt>
                <c:pt idx="714">
                  <c:v>786</c:v>
                </c:pt>
                <c:pt idx="715">
                  <c:v>785</c:v>
                </c:pt>
                <c:pt idx="716">
                  <c:v>784</c:v>
                </c:pt>
                <c:pt idx="717">
                  <c:v>783</c:v>
                </c:pt>
                <c:pt idx="718">
                  <c:v>782</c:v>
                </c:pt>
                <c:pt idx="719">
                  <c:v>781</c:v>
                </c:pt>
                <c:pt idx="720">
                  <c:v>780</c:v>
                </c:pt>
                <c:pt idx="721">
                  <c:v>779</c:v>
                </c:pt>
                <c:pt idx="722">
                  <c:v>778</c:v>
                </c:pt>
                <c:pt idx="723">
                  <c:v>777</c:v>
                </c:pt>
                <c:pt idx="724">
                  <c:v>776</c:v>
                </c:pt>
                <c:pt idx="725">
                  <c:v>775</c:v>
                </c:pt>
                <c:pt idx="726">
                  <c:v>774</c:v>
                </c:pt>
                <c:pt idx="727">
                  <c:v>773</c:v>
                </c:pt>
                <c:pt idx="728">
                  <c:v>772</c:v>
                </c:pt>
                <c:pt idx="729">
                  <c:v>771</c:v>
                </c:pt>
                <c:pt idx="730">
                  <c:v>770</c:v>
                </c:pt>
                <c:pt idx="731">
                  <c:v>769</c:v>
                </c:pt>
                <c:pt idx="732">
                  <c:v>768</c:v>
                </c:pt>
                <c:pt idx="733">
                  <c:v>767</c:v>
                </c:pt>
                <c:pt idx="734">
                  <c:v>766</c:v>
                </c:pt>
                <c:pt idx="735">
                  <c:v>765</c:v>
                </c:pt>
                <c:pt idx="736">
                  <c:v>764</c:v>
                </c:pt>
                <c:pt idx="737">
                  <c:v>763</c:v>
                </c:pt>
                <c:pt idx="738">
                  <c:v>762</c:v>
                </c:pt>
                <c:pt idx="739">
                  <c:v>761</c:v>
                </c:pt>
                <c:pt idx="740">
                  <c:v>760</c:v>
                </c:pt>
                <c:pt idx="741">
                  <c:v>759</c:v>
                </c:pt>
                <c:pt idx="742">
                  <c:v>758</c:v>
                </c:pt>
                <c:pt idx="743">
                  <c:v>757</c:v>
                </c:pt>
                <c:pt idx="744">
                  <c:v>756</c:v>
                </c:pt>
                <c:pt idx="745">
                  <c:v>755</c:v>
                </c:pt>
                <c:pt idx="746">
                  <c:v>754</c:v>
                </c:pt>
                <c:pt idx="747">
                  <c:v>753</c:v>
                </c:pt>
                <c:pt idx="748">
                  <c:v>752</c:v>
                </c:pt>
                <c:pt idx="749">
                  <c:v>751</c:v>
                </c:pt>
                <c:pt idx="750">
                  <c:v>750</c:v>
                </c:pt>
                <c:pt idx="751">
                  <c:v>749</c:v>
                </c:pt>
                <c:pt idx="752">
                  <c:v>748</c:v>
                </c:pt>
                <c:pt idx="753">
                  <c:v>747</c:v>
                </c:pt>
                <c:pt idx="754">
                  <c:v>746</c:v>
                </c:pt>
                <c:pt idx="755">
                  <c:v>745</c:v>
                </c:pt>
                <c:pt idx="756">
                  <c:v>744</c:v>
                </c:pt>
                <c:pt idx="757">
                  <c:v>743</c:v>
                </c:pt>
                <c:pt idx="758">
                  <c:v>742</c:v>
                </c:pt>
                <c:pt idx="759">
                  <c:v>741</c:v>
                </c:pt>
                <c:pt idx="760">
                  <c:v>740</c:v>
                </c:pt>
                <c:pt idx="761">
                  <c:v>739</c:v>
                </c:pt>
                <c:pt idx="762">
                  <c:v>738</c:v>
                </c:pt>
                <c:pt idx="763">
                  <c:v>737</c:v>
                </c:pt>
                <c:pt idx="764">
                  <c:v>736</c:v>
                </c:pt>
                <c:pt idx="765">
                  <c:v>735</c:v>
                </c:pt>
                <c:pt idx="766">
                  <c:v>734</c:v>
                </c:pt>
                <c:pt idx="767">
                  <c:v>733</c:v>
                </c:pt>
                <c:pt idx="768">
                  <c:v>732</c:v>
                </c:pt>
                <c:pt idx="769">
                  <c:v>731</c:v>
                </c:pt>
                <c:pt idx="770">
                  <c:v>730</c:v>
                </c:pt>
                <c:pt idx="771">
                  <c:v>729</c:v>
                </c:pt>
                <c:pt idx="772">
                  <c:v>728</c:v>
                </c:pt>
                <c:pt idx="773">
                  <c:v>727</c:v>
                </c:pt>
                <c:pt idx="774">
                  <c:v>726</c:v>
                </c:pt>
                <c:pt idx="775">
                  <c:v>725</c:v>
                </c:pt>
                <c:pt idx="776">
                  <c:v>724</c:v>
                </c:pt>
                <c:pt idx="777">
                  <c:v>723</c:v>
                </c:pt>
                <c:pt idx="778">
                  <c:v>722</c:v>
                </c:pt>
                <c:pt idx="779">
                  <c:v>721</c:v>
                </c:pt>
                <c:pt idx="780">
                  <c:v>720</c:v>
                </c:pt>
                <c:pt idx="781">
                  <c:v>719</c:v>
                </c:pt>
                <c:pt idx="782">
                  <c:v>718</c:v>
                </c:pt>
                <c:pt idx="783">
                  <c:v>717</c:v>
                </c:pt>
                <c:pt idx="784">
                  <c:v>716</c:v>
                </c:pt>
                <c:pt idx="785">
                  <c:v>715</c:v>
                </c:pt>
                <c:pt idx="786">
                  <c:v>714</c:v>
                </c:pt>
                <c:pt idx="787">
                  <c:v>713</c:v>
                </c:pt>
                <c:pt idx="788">
                  <c:v>712</c:v>
                </c:pt>
                <c:pt idx="789">
                  <c:v>711</c:v>
                </c:pt>
                <c:pt idx="790">
                  <c:v>710</c:v>
                </c:pt>
                <c:pt idx="791">
                  <c:v>709</c:v>
                </c:pt>
                <c:pt idx="792">
                  <c:v>708</c:v>
                </c:pt>
                <c:pt idx="793">
                  <c:v>707</c:v>
                </c:pt>
                <c:pt idx="794">
                  <c:v>706</c:v>
                </c:pt>
                <c:pt idx="795">
                  <c:v>705</c:v>
                </c:pt>
                <c:pt idx="796">
                  <c:v>704</c:v>
                </c:pt>
                <c:pt idx="797">
                  <c:v>703</c:v>
                </c:pt>
                <c:pt idx="798">
                  <c:v>702</c:v>
                </c:pt>
                <c:pt idx="799">
                  <c:v>701</c:v>
                </c:pt>
                <c:pt idx="800">
                  <c:v>700</c:v>
                </c:pt>
                <c:pt idx="801">
                  <c:v>699</c:v>
                </c:pt>
                <c:pt idx="802">
                  <c:v>698</c:v>
                </c:pt>
                <c:pt idx="803">
                  <c:v>697</c:v>
                </c:pt>
                <c:pt idx="804">
                  <c:v>696</c:v>
                </c:pt>
                <c:pt idx="805">
                  <c:v>695</c:v>
                </c:pt>
                <c:pt idx="806">
                  <c:v>694</c:v>
                </c:pt>
                <c:pt idx="807">
                  <c:v>693</c:v>
                </c:pt>
                <c:pt idx="808">
                  <c:v>692</c:v>
                </c:pt>
                <c:pt idx="809">
                  <c:v>691</c:v>
                </c:pt>
                <c:pt idx="810">
                  <c:v>690</c:v>
                </c:pt>
                <c:pt idx="811">
                  <c:v>689</c:v>
                </c:pt>
                <c:pt idx="812">
                  <c:v>688</c:v>
                </c:pt>
                <c:pt idx="813">
                  <c:v>687</c:v>
                </c:pt>
                <c:pt idx="814">
                  <c:v>686</c:v>
                </c:pt>
                <c:pt idx="815">
                  <c:v>685</c:v>
                </c:pt>
                <c:pt idx="816">
                  <c:v>684</c:v>
                </c:pt>
                <c:pt idx="817">
                  <c:v>683</c:v>
                </c:pt>
                <c:pt idx="818">
                  <c:v>682</c:v>
                </c:pt>
                <c:pt idx="819">
                  <c:v>681</c:v>
                </c:pt>
                <c:pt idx="820">
                  <c:v>680</c:v>
                </c:pt>
                <c:pt idx="821">
                  <c:v>679</c:v>
                </c:pt>
                <c:pt idx="822">
                  <c:v>678</c:v>
                </c:pt>
                <c:pt idx="823">
                  <c:v>677</c:v>
                </c:pt>
                <c:pt idx="824">
                  <c:v>676</c:v>
                </c:pt>
                <c:pt idx="825">
                  <c:v>675</c:v>
                </c:pt>
                <c:pt idx="826">
                  <c:v>674</c:v>
                </c:pt>
                <c:pt idx="827">
                  <c:v>673</c:v>
                </c:pt>
                <c:pt idx="828">
                  <c:v>672</c:v>
                </c:pt>
                <c:pt idx="829">
                  <c:v>671</c:v>
                </c:pt>
                <c:pt idx="830">
                  <c:v>670</c:v>
                </c:pt>
                <c:pt idx="831">
                  <c:v>669</c:v>
                </c:pt>
                <c:pt idx="832">
                  <c:v>668</c:v>
                </c:pt>
                <c:pt idx="833">
                  <c:v>667</c:v>
                </c:pt>
                <c:pt idx="834">
                  <c:v>666</c:v>
                </c:pt>
                <c:pt idx="835">
                  <c:v>665</c:v>
                </c:pt>
                <c:pt idx="836">
                  <c:v>664</c:v>
                </c:pt>
                <c:pt idx="837">
                  <c:v>663</c:v>
                </c:pt>
                <c:pt idx="838">
                  <c:v>662</c:v>
                </c:pt>
                <c:pt idx="839">
                  <c:v>661</c:v>
                </c:pt>
                <c:pt idx="840">
                  <c:v>660</c:v>
                </c:pt>
                <c:pt idx="841">
                  <c:v>659</c:v>
                </c:pt>
                <c:pt idx="842">
                  <c:v>658</c:v>
                </c:pt>
                <c:pt idx="843">
                  <c:v>657</c:v>
                </c:pt>
                <c:pt idx="844">
                  <c:v>656</c:v>
                </c:pt>
                <c:pt idx="845">
                  <c:v>655</c:v>
                </c:pt>
                <c:pt idx="846">
                  <c:v>654</c:v>
                </c:pt>
                <c:pt idx="847">
                  <c:v>653</c:v>
                </c:pt>
                <c:pt idx="848">
                  <c:v>652</c:v>
                </c:pt>
                <c:pt idx="849">
                  <c:v>651</c:v>
                </c:pt>
                <c:pt idx="850">
                  <c:v>650</c:v>
                </c:pt>
                <c:pt idx="851">
                  <c:v>649</c:v>
                </c:pt>
                <c:pt idx="852">
                  <c:v>648</c:v>
                </c:pt>
                <c:pt idx="853">
                  <c:v>647</c:v>
                </c:pt>
                <c:pt idx="854">
                  <c:v>646</c:v>
                </c:pt>
                <c:pt idx="855">
                  <c:v>645</c:v>
                </c:pt>
                <c:pt idx="856">
                  <c:v>644</c:v>
                </c:pt>
                <c:pt idx="857">
                  <c:v>643</c:v>
                </c:pt>
                <c:pt idx="858">
                  <c:v>642</c:v>
                </c:pt>
                <c:pt idx="859">
                  <c:v>641</c:v>
                </c:pt>
                <c:pt idx="860">
                  <c:v>640</c:v>
                </c:pt>
                <c:pt idx="861">
                  <c:v>639</c:v>
                </c:pt>
                <c:pt idx="862">
                  <c:v>638</c:v>
                </c:pt>
                <c:pt idx="863">
                  <c:v>637</c:v>
                </c:pt>
                <c:pt idx="864">
                  <c:v>636</c:v>
                </c:pt>
                <c:pt idx="865">
                  <c:v>635</c:v>
                </c:pt>
                <c:pt idx="866">
                  <c:v>634</c:v>
                </c:pt>
                <c:pt idx="867">
                  <c:v>633</c:v>
                </c:pt>
                <c:pt idx="868">
                  <c:v>632</c:v>
                </c:pt>
                <c:pt idx="869">
                  <c:v>631</c:v>
                </c:pt>
                <c:pt idx="870">
                  <c:v>630</c:v>
                </c:pt>
                <c:pt idx="871">
                  <c:v>629</c:v>
                </c:pt>
                <c:pt idx="872">
                  <c:v>628</c:v>
                </c:pt>
                <c:pt idx="873">
                  <c:v>627</c:v>
                </c:pt>
                <c:pt idx="874">
                  <c:v>626</c:v>
                </c:pt>
                <c:pt idx="875">
                  <c:v>625</c:v>
                </c:pt>
                <c:pt idx="876">
                  <c:v>624</c:v>
                </c:pt>
                <c:pt idx="877">
                  <c:v>623</c:v>
                </c:pt>
                <c:pt idx="878">
                  <c:v>622</c:v>
                </c:pt>
                <c:pt idx="879">
                  <c:v>621</c:v>
                </c:pt>
                <c:pt idx="880">
                  <c:v>620</c:v>
                </c:pt>
                <c:pt idx="881">
                  <c:v>619</c:v>
                </c:pt>
                <c:pt idx="882">
                  <c:v>618</c:v>
                </c:pt>
                <c:pt idx="883">
                  <c:v>617</c:v>
                </c:pt>
                <c:pt idx="884">
                  <c:v>616</c:v>
                </c:pt>
                <c:pt idx="885">
                  <c:v>615</c:v>
                </c:pt>
                <c:pt idx="886">
                  <c:v>614</c:v>
                </c:pt>
                <c:pt idx="887">
                  <c:v>613</c:v>
                </c:pt>
                <c:pt idx="888">
                  <c:v>612</c:v>
                </c:pt>
                <c:pt idx="889">
                  <c:v>611</c:v>
                </c:pt>
                <c:pt idx="890">
                  <c:v>610</c:v>
                </c:pt>
                <c:pt idx="891">
                  <c:v>609</c:v>
                </c:pt>
                <c:pt idx="892">
                  <c:v>608</c:v>
                </c:pt>
                <c:pt idx="893">
                  <c:v>607</c:v>
                </c:pt>
                <c:pt idx="894">
                  <c:v>606</c:v>
                </c:pt>
                <c:pt idx="895">
                  <c:v>605</c:v>
                </c:pt>
                <c:pt idx="896">
                  <c:v>604</c:v>
                </c:pt>
                <c:pt idx="897">
                  <c:v>603</c:v>
                </c:pt>
                <c:pt idx="898">
                  <c:v>602</c:v>
                </c:pt>
                <c:pt idx="899">
                  <c:v>601</c:v>
                </c:pt>
                <c:pt idx="900">
                  <c:v>600</c:v>
                </c:pt>
                <c:pt idx="901">
                  <c:v>599</c:v>
                </c:pt>
                <c:pt idx="902">
                  <c:v>598</c:v>
                </c:pt>
                <c:pt idx="903">
                  <c:v>597</c:v>
                </c:pt>
                <c:pt idx="904">
                  <c:v>596</c:v>
                </c:pt>
                <c:pt idx="905">
                  <c:v>595</c:v>
                </c:pt>
                <c:pt idx="906">
                  <c:v>594</c:v>
                </c:pt>
                <c:pt idx="907">
                  <c:v>593</c:v>
                </c:pt>
                <c:pt idx="908">
                  <c:v>592</c:v>
                </c:pt>
                <c:pt idx="909">
                  <c:v>591</c:v>
                </c:pt>
                <c:pt idx="910">
                  <c:v>590</c:v>
                </c:pt>
                <c:pt idx="911">
                  <c:v>589</c:v>
                </c:pt>
                <c:pt idx="912">
                  <c:v>588</c:v>
                </c:pt>
                <c:pt idx="913">
                  <c:v>587</c:v>
                </c:pt>
                <c:pt idx="914">
                  <c:v>586</c:v>
                </c:pt>
                <c:pt idx="915">
                  <c:v>585</c:v>
                </c:pt>
                <c:pt idx="916">
                  <c:v>584</c:v>
                </c:pt>
                <c:pt idx="917">
                  <c:v>583</c:v>
                </c:pt>
                <c:pt idx="918">
                  <c:v>582</c:v>
                </c:pt>
                <c:pt idx="919">
                  <c:v>581</c:v>
                </c:pt>
                <c:pt idx="920">
                  <c:v>580</c:v>
                </c:pt>
                <c:pt idx="921">
                  <c:v>579</c:v>
                </c:pt>
                <c:pt idx="922">
                  <c:v>578</c:v>
                </c:pt>
                <c:pt idx="923">
                  <c:v>577</c:v>
                </c:pt>
                <c:pt idx="924">
                  <c:v>576</c:v>
                </c:pt>
                <c:pt idx="925">
                  <c:v>575</c:v>
                </c:pt>
                <c:pt idx="926">
                  <c:v>574</c:v>
                </c:pt>
                <c:pt idx="927">
                  <c:v>573</c:v>
                </c:pt>
                <c:pt idx="928">
                  <c:v>572</c:v>
                </c:pt>
                <c:pt idx="929">
                  <c:v>571</c:v>
                </c:pt>
                <c:pt idx="930">
                  <c:v>570</c:v>
                </c:pt>
                <c:pt idx="931">
                  <c:v>569</c:v>
                </c:pt>
                <c:pt idx="932">
                  <c:v>568</c:v>
                </c:pt>
                <c:pt idx="933">
                  <c:v>567</c:v>
                </c:pt>
                <c:pt idx="934">
                  <c:v>566</c:v>
                </c:pt>
                <c:pt idx="935">
                  <c:v>565</c:v>
                </c:pt>
                <c:pt idx="936">
                  <c:v>564</c:v>
                </c:pt>
                <c:pt idx="937">
                  <c:v>563</c:v>
                </c:pt>
                <c:pt idx="938">
                  <c:v>562</c:v>
                </c:pt>
                <c:pt idx="939">
                  <c:v>561</c:v>
                </c:pt>
                <c:pt idx="940">
                  <c:v>560</c:v>
                </c:pt>
                <c:pt idx="941">
                  <c:v>559</c:v>
                </c:pt>
                <c:pt idx="942">
                  <c:v>558</c:v>
                </c:pt>
                <c:pt idx="943">
                  <c:v>557</c:v>
                </c:pt>
                <c:pt idx="944">
                  <c:v>556</c:v>
                </c:pt>
                <c:pt idx="945">
                  <c:v>555</c:v>
                </c:pt>
                <c:pt idx="946">
                  <c:v>554</c:v>
                </c:pt>
                <c:pt idx="947">
                  <c:v>553</c:v>
                </c:pt>
                <c:pt idx="948">
                  <c:v>552</c:v>
                </c:pt>
                <c:pt idx="949">
                  <c:v>551</c:v>
                </c:pt>
                <c:pt idx="950">
                  <c:v>550</c:v>
                </c:pt>
                <c:pt idx="951">
                  <c:v>549</c:v>
                </c:pt>
                <c:pt idx="952">
                  <c:v>548</c:v>
                </c:pt>
                <c:pt idx="953">
                  <c:v>547</c:v>
                </c:pt>
                <c:pt idx="954">
                  <c:v>546</c:v>
                </c:pt>
                <c:pt idx="955">
                  <c:v>545</c:v>
                </c:pt>
                <c:pt idx="956">
                  <c:v>544</c:v>
                </c:pt>
                <c:pt idx="957">
                  <c:v>543</c:v>
                </c:pt>
                <c:pt idx="958">
                  <c:v>542</c:v>
                </c:pt>
                <c:pt idx="959">
                  <c:v>541</c:v>
                </c:pt>
                <c:pt idx="960">
                  <c:v>540</c:v>
                </c:pt>
                <c:pt idx="961">
                  <c:v>539</c:v>
                </c:pt>
                <c:pt idx="962">
                  <c:v>538</c:v>
                </c:pt>
                <c:pt idx="963">
                  <c:v>537</c:v>
                </c:pt>
                <c:pt idx="964">
                  <c:v>536</c:v>
                </c:pt>
                <c:pt idx="965">
                  <c:v>535</c:v>
                </c:pt>
                <c:pt idx="966">
                  <c:v>534</c:v>
                </c:pt>
                <c:pt idx="967">
                  <c:v>533</c:v>
                </c:pt>
                <c:pt idx="968">
                  <c:v>532</c:v>
                </c:pt>
                <c:pt idx="969">
                  <c:v>531</c:v>
                </c:pt>
                <c:pt idx="970">
                  <c:v>530</c:v>
                </c:pt>
                <c:pt idx="971">
                  <c:v>529</c:v>
                </c:pt>
                <c:pt idx="972">
                  <c:v>528</c:v>
                </c:pt>
                <c:pt idx="973">
                  <c:v>527</c:v>
                </c:pt>
                <c:pt idx="974">
                  <c:v>526</c:v>
                </c:pt>
                <c:pt idx="975">
                  <c:v>525</c:v>
                </c:pt>
                <c:pt idx="976">
                  <c:v>524</c:v>
                </c:pt>
                <c:pt idx="977">
                  <c:v>523</c:v>
                </c:pt>
                <c:pt idx="978">
                  <c:v>522</c:v>
                </c:pt>
                <c:pt idx="979">
                  <c:v>521</c:v>
                </c:pt>
                <c:pt idx="980">
                  <c:v>520</c:v>
                </c:pt>
                <c:pt idx="981">
                  <c:v>519</c:v>
                </c:pt>
                <c:pt idx="982">
                  <c:v>518</c:v>
                </c:pt>
                <c:pt idx="983">
                  <c:v>517</c:v>
                </c:pt>
                <c:pt idx="984">
                  <c:v>516</c:v>
                </c:pt>
                <c:pt idx="985">
                  <c:v>515</c:v>
                </c:pt>
                <c:pt idx="986">
                  <c:v>514</c:v>
                </c:pt>
                <c:pt idx="987">
                  <c:v>513</c:v>
                </c:pt>
                <c:pt idx="988">
                  <c:v>512</c:v>
                </c:pt>
                <c:pt idx="989">
                  <c:v>511</c:v>
                </c:pt>
                <c:pt idx="990">
                  <c:v>510</c:v>
                </c:pt>
                <c:pt idx="991">
                  <c:v>509</c:v>
                </c:pt>
                <c:pt idx="992">
                  <c:v>508</c:v>
                </c:pt>
                <c:pt idx="993">
                  <c:v>507</c:v>
                </c:pt>
                <c:pt idx="994">
                  <c:v>506</c:v>
                </c:pt>
                <c:pt idx="995">
                  <c:v>505</c:v>
                </c:pt>
                <c:pt idx="996">
                  <c:v>504</c:v>
                </c:pt>
                <c:pt idx="997">
                  <c:v>503</c:v>
                </c:pt>
                <c:pt idx="998">
                  <c:v>502</c:v>
                </c:pt>
                <c:pt idx="999">
                  <c:v>501</c:v>
                </c:pt>
                <c:pt idx="1000">
                  <c:v>500</c:v>
                </c:pt>
                <c:pt idx="1001">
                  <c:v>499</c:v>
                </c:pt>
                <c:pt idx="1002">
                  <c:v>498</c:v>
                </c:pt>
                <c:pt idx="1003">
                  <c:v>497</c:v>
                </c:pt>
                <c:pt idx="1004">
                  <c:v>496</c:v>
                </c:pt>
                <c:pt idx="1005">
                  <c:v>495</c:v>
                </c:pt>
                <c:pt idx="1006">
                  <c:v>494</c:v>
                </c:pt>
                <c:pt idx="1007">
                  <c:v>493</c:v>
                </c:pt>
                <c:pt idx="1008">
                  <c:v>492</c:v>
                </c:pt>
                <c:pt idx="1009">
                  <c:v>491</c:v>
                </c:pt>
                <c:pt idx="1010">
                  <c:v>490</c:v>
                </c:pt>
                <c:pt idx="1011">
                  <c:v>489</c:v>
                </c:pt>
                <c:pt idx="1012">
                  <c:v>488</c:v>
                </c:pt>
                <c:pt idx="1013">
                  <c:v>487</c:v>
                </c:pt>
                <c:pt idx="1014">
                  <c:v>486</c:v>
                </c:pt>
                <c:pt idx="1015">
                  <c:v>485</c:v>
                </c:pt>
                <c:pt idx="1016">
                  <c:v>484</c:v>
                </c:pt>
                <c:pt idx="1017">
                  <c:v>483</c:v>
                </c:pt>
                <c:pt idx="1018">
                  <c:v>482</c:v>
                </c:pt>
                <c:pt idx="1019">
                  <c:v>481</c:v>
                </c:pt>
                <c:pt idx="1020">
                  <c:v>480</c:v>
                </c:pt>
                <c:pt idx="1021">
                  <c:v>479</c:v>
                </c:pt>
                <c:pt idx="1022">
                  <c:v>478</c:v>
                </c:pt>
                <c:pt idx="1023">
                  <c:v>477</c:v>
                </c:pt>
                <c:pt idx="1024">
                  <c:v>476</c:v>
                </c:pt>
                <c:pt idx="1025">
                  <c:v>475</c:v>
                </c:pt>
                <c:pt idx="1026">
                  <c:v>474</c:v>
                </c:pt>
                <c:pt idx="1027">
                  <c:v>473</c:v>
                </c:pt>
                <c:pt idx="1028">
                  <c:v>472</c:v>
                </c:pt>
                <c:pt idx="1029">
                  <c:v>471</c:v>
                </c:pt>
                <c:pt idx="1030">
                  <c:v>470</c:v>
                </c:pt>
                <c:pt idx="1031">
                  <c:v>469</c:v>
                </c:pt>
                <c:pt idx="1032">
                  <c:v>468</c:v>
                </c:pt>
                <c:pt idx="1033">
                  <c:v>467</c:v>
                </c:pt>
                <c:pt idx="1034">
                  <c:v>466</c:v>
                </c:pt>
                <c:pt idx="1035">
                  <c:v>465</c:v>
                </c:pt>
                <c:pt idx="1036">
                  <c:v>464</c:v>
                </c:pt>
                <c:pt idx="1037">
                  <c:v>463</c:v>
                </c:pt>
                <c:pt idx="1038">
                  <c:v>462</c:v>
                </c:pt>
                <c:pt idx="1039">
                  <c:v>461</c:v>
                </c:pt>
                <c:pt idx="1040">
                  <c:v>460</c:v>
                </c:pt>
                <c:pt idx="1041">
                  <c:v>459</c:v>
                </c:pt>
                <c:pt idx="1042">
                  <c:v>458</c:v>
                </c:pt>
                <c:pt idx="1043">
                  <c:v>457</c:v>
                </c:pt>
                <c:pt idx="1044">
                  <c:v>456</c:v>
                </c:pt>
                <c:pt idx="1045">
                  <c:v>455</c:v>
                </c:pt>
                <c:pt idx="1046">
                  <c:v>454</c:v>
                </c:pt>
                <c:pt idx="1047">
                  <c:v>453</c:v>
                </c:pt>
                <c:pt idx="1048">
                  <c:v>452</c:v>
                </c:pt>
                <c:pt idx="1049">
                  <c:v>451</c:v>
                </c:pt>
                <c:pt idx="1050">
                  <c:v>450</c:v>
                </c:pt>
                <c:pt idx="1051">
                  <c:v>449</c:v>
                </c:pt>
                <c:pt idx="1052">
                  <c:v>448</c:v>
                </c:pt>
                <c:pt idx="1053">
                  <c:v>447</c:v>
                </c:pt>
                <c:pt idx="1054">
                  <c:v>446</c:v>
                </c:pt>
                <c:pt idx="1055">
                  <c:v>445</c:v>
                </c:pt>
                <c:pt idx="1056">
                  <c:v>444</c:v>
                </c:pt>
                <c:pt idx="1057">
                  <c:v>443</c:v>
                </c:pt>
                <c:pt idx="1058">
                  <c:v>442</c:v>
                </c:pt>
                <c:pt idx="1059">
                  <c:v>441</c:v>
                </c:pt>
                <c:pt idx="1060">
                  <c:v>440</c:v>
                </c:pt>
                <c:pt idx="1061">
                  <c:v>439</c:v>
                </c:pt>
                <c:pt idx="1062">
                  <c:v>438</c:v>
                </c:pt>
                <c:pt idx="1063">
                  <c:v>437</c:v>
                </c:pt>
                <c:pt idx="1064">
                  <c:v>436</c:v>
                </c:pt>
                <c:pt idx="1065">
                  <c:v>435</c:v>
                </c:pt>
                <c:pt idx="1066">
                  <c:v>434</c:v>
                </c:pt>
                <c:pt idx="1067">
                  <c:v>433</c:v>
                </c:pt>
                <c:pt idx="1068">
                  <c:v>432</c:v>
                </c:pt>
                <c:pt idx="1069">
                  <c:v>431</c:v>
                </c:pt>
                <c:pt idx="1070">
                  <c:v>430</c:v>
                </c:pt>
                <c:pt idx="1071">
                  <c:v>429</c:v>
                </c:pt>
                <c:pt idx="1072">
                  <c:v>428</c:v>
                </c:pt>
                <c:pt idx="1073">
                  <c:v>427</c:v>
                </c:pt>
                <c:pt idx="1074">
                  <c:v>426</c:v>
                </c:pt>
                <c:pt idx="1075">
                  <c:v>425</c:v>
                </c:pt>
                <c:pt idx="1076">
                  <c:v>424</c:v>
                </c:pt>
                <c:pt idx="1077">
                  <c:v>423</c:v>
                </c:pt>
                <c:pt idx="1078">
                  <c:v>422</c:v>
                </c:pt>
                <c:pt idx="1079">
                  <c:v>421</c:v>
                </c:pt>
                <c:pt idx="1080">
                  <c:v>420</c:v>
                </c:pt>
                <c:pt idx="1081">
                  <c:v>419</c:v>
                </c:pt>
                <c:pt idx="1082">
                  <c:v>418</c:v>
                </c:pt>
                <c:pt idx="1083">
                  <c:v>417</c:v>
                </c:pt>
                <c:pt idx="1084">
                  <c:v>416</c:v>
                </c:pt>
                <c:pt idx="1085">
                  <c:v>415</c:v>
                </c:pt>
                <c:pt idx="1086">
                  <c:v>414</c:v>
                </c:pt>
                <c:pt idx="1087">
                  <c:v>413</c:v>
                </c:pt>
                <c:pt idx="1088">
                  <c:v>412</c:v>
                </c:pt>
                <c:pt idx="1089">
                  <c:v>411</c:v>
                </c:pt>
                <c:pt idx="1090">
                  <c:v>410</c:v>
                </c:pt>
                <c:pt idx="1091">
                  <c:v>409</c:v>
                </c:pt>
                <c:pt idx="1092">
                  <c:v>408</c:v>
                </c:pt>
                <c:pt idx="1093">
                  <c:v>407</c:v>
                </c:pt>
                <c:pt idx="1094">
                  <c:v>406</c:v>
                </c:pt>
                <c:pt idx="1095">
                  <c:v>405</c:v>
                </c:pt>
                <c:pt idx="1096">
                  <c:v>404</c:v>
                </c:pt>
                <c:pt idx="1097">
                  <c:v>403</c:v>
                </c:pt>
                <c:pt idx="1098">
                  <c:v>402</c:v>
                </c:pt>
                <c:pt idx="1099">
                  <c:v>401</c:v>
                </c:pt>
                <c:pt idx="1100">
                  <c:v>400</c:v>
                </c:pt>
                <c:pt idx="1101">
                  <c:v>399</c:v>
                </c:pt>
                <c:pt idx="1102">
                  <c:v>398</c:v>
                </c:pt>
                <c:pt idx="1103">
                  <c:v>397</c:v>
                </c:pt>
                <c:pt idx="1104">
                  <c:v>396</c:v>
                </c:pt>
                <c:pt idx="1105">
                  <c:v>395</c:v>
                </c:pt>
                <c:pt idx="1106">
                  <c:v>394</c:v>
                </c:pt>
                <c:pt idx="1107">
                  <c:v>393</c:v>
                </c:pt>
                <c:pt idx="1108">
                  <c:v>392</c:v>
                </c:pt>
                <c:pt idx="1109">
                  <c:v>391</c:v>
                </c:pt>
                <c:pt idx="1110">
                  <c:v>390</c:v>
                </c:pt>
                <c:pt idx="1111">
                  <c:v>389</c:v>
                </c:pt>
                <c:pt idx="1112">
                  <c:v>388</c:v>
                </c:pt>
                <c:pt idx="1113">
                  <c:v>387</c:v>
                </c:pt>
                <c:pt idx="1114">
                  <c:v>386</c:v>
                </c:pt>
                <c:pt idx="1115">
                  <c:v>385</c:v>
                </c:pt>
                <c:pt idx="1116">
                  <c:v>384</c:v>
                </c:pt>
                <c:pt idx="1117">
                  <c:v>383</c:v>
                </c:pt>
                <c:pt idx="1118">
                  <c:v>382</c:v>
                </c:pt>
                <c:pt idx="1119">
                  <c:v>381</c:v>
                </c:pt>
                <c:pt idx="1120">
                  <c:v>380</c:v>
                </c:pt>
                <c:pt idx="1121">
                  <c:v>379</c:v>
                </c:pt>
                <c:pt idx="1122">
                  <c:v>378</c:v>
                </c:pt>
                <c:pt idx="1123">
                  <c:v>377</c:v>
                </c:pt>
                <c:pt idx="1124">
                  <c:v>376</c:v>
                </c:pt>
                <c:pt idx="1125">
                  <c:v>375</c:v>
                </c:pt>
                <c:pt idx="1126">
                  <c:v>374</c:v>
                </c:pt>
                <c:pt idx="1127">
                  <c:v>373</c:v>
                </c:pt>
                <c:pt idx="1128">
                  <c:v>372</c:v>
                </c:pt>
                <c:pt idx="1129">
                  <c:v>371</c:v>
                </c:pt>
                <c:pt idx="1130">
                  <c:v>370</c:v>
                </c:pt>
                <c:pt idx="1131">
                  <c:v>369</c:v>
                </c:pt>
                <c:pt idx="1132">
                  <c:v>368</c:v>
                </c:pt>
                <c:pt idx="1133">
                  <c:v>367</c:v>
                </c:pt>
                <c:pt idx="1134">
                  <c:v>366</c:v>
                </c:pt>
                <c:pt idx="1135">
                  <c:v>365</c:v>
                </c:pt>
                <c:pt idx="1136">
                  <c:v>364</c:v>
                </c:pt>
                <c:pt idx="1137">
                  <c:v>363</c:v>
                </c:pt>
                <c:pt idx="1138">
                  <c:v>362</c:v>
                </c:pt>
                <c:pt idx="1139">
                  <c:v>361</c:v>
                </c:pt>
                <c:pt idx="1140">
                  <c:v>360</c:v>
                </c:pt>
                <c:pt idx="1141">
                  <c:v>359</c:v>
                </c:pt>
                <c:pt idx="1142">
                  <c:v>358</c:v>
                </c:pt>
                <c:pt idx="1143">
                  <c:v>357</c:v>
                </c:pt>
                <c:pt idx="1144">
                  <c:v>356</c:v>
                </c:pt>
                <c:pt idx="1145">
                  <c:v>355</c:v>
                </c:pt>
                <c:pt idx="1146">
                  <c:v>354</c:v>
                </c:pt>
                <c:pt idx="1147">
                  <c:v>353</c:v>
                </c:pt>
                <c:pt idx="1148">
                  <c:v>352</c:v>
                </c:pt>
                <c:pt idx="1149">
                  <c:v>351</c:v>
                </c:pt>
                <c:pt idx="1150">
                  <c:v>350</c:v>
                </c:pt>
                <c:pt idx="1151">
                  <c:v>349</c:v>
                </c:pt>
                <c:pt idx="1152">
                  <c:v>348</c:v>
                </c:pt>
                <c:pt idx="1153">
                  <c:v>347</c:v>
                </c:pt>
                <c:pt idx="1154">
                  <c:v>346</c:v>
                </c:pt>
                <c:pt idx="1155">
                  <c:v>345</c:v>
                </c:pt>
                <c:pt idx="1156">
                  <c:v>344</c:v>
                </c:pt>
                <c:pt idx="1157">
                  <c:v>343</c:v>
                </c:pt>
                <c:pt idx="1158">
                  <c:v>342</c:v>
                </c:pt>
                <c:pt idx="1159">
                  <c:v>341</c:v>
                </c:pt>
                <c:pt idx="1160">
                  <c:v>340</c:v>
                </c:pt>
                <c:pt idx="1161">
                  <c:v>339</c:v>
                </c:pt>
                <c:pt idx="1162">
                  <c:v>338</c:v>
                </c:pt>
                <c:pt idx="1163">
                  <c:v>337</c:v>
                </c:pt>
                <c:pt idx="1164">
                  <c:v>336</c:v>
                </c:pt>
                <c:pt idx="1165">
                  <c:v>335</c:v>
                </c:pt>
                <c:pt idx="1166">
                  <c:v>334</c:v>
                </c:pt>
                <c:pt idx="1167">
                  <c:v>333</c:v>
                </c:pt>
                <c:pt idx="1168">
                  <c:v>332</c:v>
                </c:pt>
                <c:pt idx="1169">
                  <c:v>331</c:v>
                </c:pt>
                <c:pt idx="1170">
                  <c:v>330</c:v>
                </c:pt>
                <c:pt idx="1171">
                  <c:v>329</c:v>
                </c:pt>
                <c:pt idx="1172">
                  <c:v>328</c:v>
                </c:pt>
                <c:pt idx="1173">
                  <c:v>327</c:v>
                </c:pt>
                <c:pt idx="1174">
                  <c:v>326</c:v>
                </c:pt>
                <c:pt idx="1175">
                  <c:v>325</c:v>
                </c:pt>
                <c:pt idx="1176">
                  <c:v>324</c:v>
                </c:pt>
                <c:pt idx="1177">
                  <c:v>323</c:v>
                </c:pt>
                <c:pt idx="1178">
                  <c:v>322</c:v>
                </c:pt>
                <c:pt idx="1179">
                  <c:v>321</c:v>
                </c:pt>
                <c:pt idx="1180">
                  <c:v>320</c:v>
                </c:pt>
                <c:pt idx="1181">
                  <c:v>319</c:v>
                </c:pt>
                <c:pt idx="1182">
                  <c:v>318</c:v>
                </c:pt>
                <c:pt idx="1183">
                  <c:v>317</c:v>
                </c:pt>
                <c:pt idx="1184">
                  <c:v>316</c:v>
                </c:pt>
                <c:pt idx="1185">
                  <c:v>315</c:v>
                </c:pt>
                <c:pt idx="1186">
                  <c:v>314</c:v>
                </c:pt>
                <c:pt idx="1187">
                  <c:v>313</c:v>
                </c:pt>
                <c:pt idx="1188">
                  <c:v>312</c:v>
                </c:pt>
                <c:pt idx="1189">
                  <c:v>311</c:v>
                </c:pt>
                <c:pt idx="1190">
                  <c:v>310</c:v>
                </c:pt>
                <c:pt idx="1191">
                  <c:v>309</c:v>
                </c:pt>
                <c:pt idx="1192">
                  <c:v>308</c:v>
                </c:pt>
                <c:pt idx="1193">
                  <c:v>307</c:v>
                </c:pt>
                <c:pt idx="1194">
                  <c:v>306</c:v>
                </c:pt>
                <c:pt idx="1195">
                  <c:v>305</c:v>
                </c:pt>
                <c:pt idx="1196">
                  <c:v>304</c:v>
                </c:pt>
                <c:pt idx="1197">
                  <c:v>303</c:v>
                </c:pt>
                <c:pt idx="1198">
                  <c:v>302</c:v>
                </c:pt>
                <c:pt idx="1199">
                  <c:v>301</c:v>
                </c:pt>
                <c:pt idx="1200">
                  <c:v>300</c:v>
                </c:pt>
                <c:pt idx="1201">
                  <c:v>299</c:v>
                </c:pt>
                <c:pt idx="1202">
                  <c:v>298</c:v>
                </c:pt>
                <c:pt idx="1203">
                  <c:v>297</c:v>
                </c:pt>
                <c:pt idx="1204">
                  <c:v>296</c:v>
                </c:pt>
                <c:pt idx="1205">
                  <c:v>295</c:v>
                </c:pt>
                <c:pt idx="1206">
                  <c:v>294</c:v>
                </c:pt>
                <c:pt idx="1207">
                  <c:v>293</c:v>
                </c:pt>
                <c:pt idx="1208">
                  <c:v>292</c:v>
                </c:pt>
                <c:pt idx="1209">
                  <c:v>291</c:v>
                </c:pt>
                <c:pt idx="1210">
                  <c:v>290</c:v>
                </c:pt>
                <c:pt idx="1211">
                  <c:v>289</c:v>
                </c:pt>
                <c:pt idx="1212">
                  <c:v>288</c:v>
                </c:pt>
                <c:pt idx="1213">
                  <c:v>287</c:v>
                </c:pt>
                <c:pt idx="1214">
                  <c:v>286</c:v>
                </c:pt>
                <c:pt idx="1215">
                  <c:v>285</c:v>
                </c:pt>
                <c:pt idx="1216">
                  <c:v>284</c:v>
                </c:pt>
                <c:pt idx="1217">
                  <c:v>283</c:v>
                </c:pt>
                <c:pt idx="1218">
                  <c:v>282</c:v>
                </c:pt>
                <c:pt idx="1219">
                  <c:v>281</c:v>
                </c:pt>
                <c:pt idx="1220">
                  <c:v>280</c:v>
                </c:pt>
                <c:pt idx="1221">
                  <c:v>279</c:v>
                </c:pt>
                <c:pt idx="1222">
                  <c:v>278</c:v>
                </c:pt>
                <c:pt idx="1223">
                  <c:v>277</c:v>
                </c:pt>
                <c:pt idx="1224">
                  <c:v>276</c:v>
                </c:pt>
                <c:pt idx="1225">
                  <c:v>275</c:v>
                </c:pt>
                <c:pt idx="1226">
                  <c:v>274</c:v>
                </c:pt>
                <c:pt idx="1227">
                  <c:v>273</c:v>
                </c:pt>
                <c:pt idx="1228">
                  <c:v>272</c:v>
                </c:pt>
                <c:pt idx="1229">
                  <c:v>271</c:v>
                </c:pt>
                <c:pt idx="1230">
                  <c:v>270</c:v>
                </c:pt>
                <c:pt idx="1231">
                  <c:v>269</c:v>
                </c:pt>
                <c:pt idx="1232">
                  <c:v>268</c:v>
                </c:pt>
                <c:pt idx="1233">
                  <c:v>267</c:v>
                </c:pt>
                <c:pt idx="1234">
                  <c:v>266</c:v>
                </c:pt>
                <c:pt idx="1235">
                  <c:v>265</c:v>
                </c:pt>
                <c:pt idx="1236">
                  <c:v>264</c:v>
                </c:pt>
                <c:pt idx="1237">
                  <c:v>263</c:v>
                </c:pt>
                <c:pt idx="1238">
                  <c:v>262</c:v>
                </c:pt>
                <c:pt idx="1239">
                  <c:v>261</c:v>
                </c:pt>
                <c:pt idx="1240">
                  <c:v>260</c:v>
                </c:pt>
                <c:pt idx="1241">
                  <c:v>259</c:v>
                </c:pt>
                <c:pt idx="1242">
                  <c:v>258</c:v>
                </c:pt>
                <c:pt idx="1243">
                  <c:v>257</c:v>
                </c:pt>
                <c:pt idx="1244">
                  <c:v>256</c:v>
                </c:pt>
                <c:pt idx="1245">
                  <c:v>255</c:v>
                </c:pt>
                <c:pt idx="1246">
                  <c:v>254</c:v>
                </c:pt>
                <c:pt idx="1247">
                  <c:v>253</c:v>
                </c:pt>
                <c:pt idx="1248">
                  <c:v>252</c:v>
                </c:pt>
                <c:pt idx="1249">
                  <c:v>251</c:v>
                </c:pt>
                <c:pt idx="1250">
                  <c:v>250</c:v>
                </c:pt>
                <c:pt idx="1251">
                  <c:v>249</c:v>
                </c:pt>
                <c:pt idx="1252">
                  <c:v>248</c:v>
                </c:pt>
                <c:pt idx="1253">
                  <c:v>247</c:v>
                </c:pt>
                <c:pt idx="1254">
                  <c:v>246</c:v>
                </c:pt>
                <c:pt idx="1255">
                  <c:v>245</c:v>
                </c:pt>
                <c:pt idx="1256">
                  <c:v>244</c:v>
                </c:pt>
                <c:pt idx="1257">
                  <c:v>243</c:v>
                </c:pt>
                <c:pt idx="1258">
                  <c:v>242</c:v>
                </c:pt>
                <c:pt idx="1259">
                  <c:v>241</c:v>
                </c:pt>
                <c:pt idx="1260">
                  <c:v>240</c:v>
                </c:pt>
                <c:pt idx="1261">
                  <c:v>239</c:v>
                </c:pt>
                <c:pt idx="1262">
                  <c:v>238</c:v>
                </c:pt>
                <c:pt idx="1263">
                  <c:v>237</c:v>
                </c:pt>
                <c:pt idx="1264">
                  <c:v>236</c:v>
                </c:pt>
                <c:pt idx="1265">
                  <c:v>235</c:v>
                </c:pt>
                <c:pt idx="1266">
                  <c:v>234</c:v>
                </c:pt>
                <c:pt idx="1267">
                  <c:v>233</c:v>
                </c:pt>
                <c:pt idx="1268">
                  <c:v>232</c:v>
                </c:pt>
                <c:pt idx="1269">
                  <c:v>231</c:v>
                </c:pt>
                <c:pt idx="1270">
                  <c:v>230</c:v>
                </c:pt>
                <c:pt idx="1271">
                  <c:v>229</c:v>
                </c:pt>
                <c:pt idx="1272">
                  <c:v>228</c:v>
                </c:pt>
                <c:pt idx="1273">
                  <c:v>227</c:v>
                </c:pt>
                <c:pt idx="1274">
                  <c:v>226</c:v>
                </c:pt>
                <c:pt idx="1275">
                  <c:v>225</c:v>
                </c:pt>
                <c:pt idx="1276">
                  <c:v>224</c:v>
                </c:pt>
                <c:pt idx="1277">
                  <c:v>223</c:v>
                </c:pt>
                <c:pt idx="1278">
                  <c:v>222</c:v>
                </c:pt>
                <c:pt idx="1279">
                  <c:v>221</c:v>
                </c:pt>
                <c:pt idx="1280">
                  <c:v>220</c:v>
                </c:pt>
                <c:pt idx="1281">
                  <c:v>219</c:v>
                </c:pt>
                <c:pt idx="1282">
                  <c:v>218</c:v>
                </c:pt>
                <c:pt idx="1283">
                  <c:v>217</c:v>
                </c:pt>
                <c:pt idx="1284">
                  <c:v>216</c:v>
                </c:pt>
                <c:pt idx="1285">
                  <c:v>215</c:v>
                </c:pt>
                <c:pt idx="1286">
                  <c:v>214</c:v>
                </c:pt>
                <c:pt idx="1287">
                  <c:v>213</c:v>
                </c:pt>
                <c:pt idx="1288">
                  <c:v>212</c:v>
                </c:pt>
                <c:pt idx="1289">
                  <c:v>211</c:v>
                </c:pt>
                <c:pt idx="1290">
                  <c:v>210</c:v>
                </c:pt>
                <c:pt idx="1291">
                  <c:v>209</c:v>
                </c:pt>
                <c:pt idx="1292">
                  <c:v>208</c:v>
                </c:pt>
                <c:pt idx="1293">
                  <c:v>207</c:v>
                </c:pt>
                <c:pt idx="1294">
                  <c:v>206</c:v>
                </c:pt>
                <c:pt idx="1295">
                  <c:v>205</c:v>
                </c:pt>
                <c:pt idx="1296">
                  <c:v>204</c:v>
                </c:pt>
                <c:pt idx="1297">
                  <c:v>203</c:v>
                </c:pt>
                <c:pt idx="1298">
                  <c:v>202</c:v>
                </c:pt>
                <c:pt idx="1299">
                  <c:v>201</c:v>
                </c:pt>
                <c:pt idx="1300">
                  <c:v>200</c:v>
                </c:pt>
                <c:pt idx="1301">
                  <c:v>199</c:v>
                </c:pt>
                <c:pt idx="1302">
                  <c:v>198</c:v>
                </c:pt>
                <c:pt idx="1303">
                  <c:v>197</c:v>
                </c:pt>
                <c:pt idx="1304">
                  <c:v>196</c:v>
                </c:pt>
                <c:pt idx="1305">
                  <c:v>195</c:v>
                </c:pt>
                <c:pt idx="1306">
                  <c:v>194</c:v>
                </c:pt>
                <c:pt idx="1307">
                  <c:v>193</c:v>
                </c:pt>
                <c:pt idx="1308">
                  <c:v>192</c:v>
                </c:pt>
                <c:pt idx="1309">
                  <c:v>191</c:v>
                </c:pt>
                <c:pt idx="1310">
                  <c:v>190</c:v>
                </c:pt>
                <c:pt idx="1311">
                  <c:v>189</c:v>
                </c:pt>
                <c:pt idx="1312">
                  <c:v>188</c:v>
                </c:pt>
                <c:pt idx="1313">
                  <c:v>187</c:v>
                </c:pt>
                <c:pt idx="1314">
                  <c:v>186</c:v>
                </c:pt>
                <c:pt idx="1315">
                  <c:v>185</c:v>
                </c:pt>
                <c:pt idx="1316">
                  <c:v>184</c:v>
                </c:pt>
                <c:pt idx="1317">
                  <c:v>183</c:v>
                </c:pt>
                <c:pt idx="1318">
                  <c:v>182</c:v>
                </c:pt>
                <c:pt idx="1319">
                  <c:v>181</c:v>
                </c:pt>
                <c:pt idx="1320">
                  <c:v>180</c:v>
                </c:pt>
                <c:pt idx="1321">
                  <c:v>179</c:v>
                </c:pt>
                <c:pt idx="1322">
                  <c:v>178</c:v>
                </c:pt>
                <c:pt idx="1323">
                  <c:v>177</c:v>
                </c:pt>
                <c:pt idx="1324">
                  <c:v>176</c:v>
                </c:pt>
                <c:pt idx="1325">
                  <c:v>175</c:v>
                </c:pt>
                <c:pt idx="1326">
                  <c:v>174</c:v>
                </c:pt>
                <c:pt idx="1327">
                  <c:v>173</c:v>
                </c:pt>
                <c:pt idx="1328">
                  <c:v>172</c:v>
                </c:pt>
                <c:pt idx="1329">
                  <c:v>171</c:v>
                </c:pt>
                <c:pt idx="1330">
                  <c:v>170</c:v>
                </c:pt>
                <c:pt idx="1331">
                  <c:v>169</c:v>
                </c:pt>
                <c:pt idx="1332">
                  <c:v>168</c:v>
                </c:pt>
                <c:pt idx="1333">
                  <c:v>167</c:v>
                </c:pt>
                <c:pt idx="1334">
                  <c:v>166</c:v>
                </c:pt>
                <c:pt idx="1335">
                  <c:v>165</c:v>
                </c:pt>
                <c:pt idx="1336">
                  <c:v>164</c:v>
                </c:pt>
                <c:pt idx="1337">
                  <c:v>163</c:v>
                </c:pt>
                <c:pt idx="1338">
                  <c:v>162</c:v>
                </c:pt>
                <c:pt idx="1339">
                  <c:v>161</c:v>
                </c:pt>
                <c:pt idx="1340">
                  <c:v>160</c:v>
                </c:pt>
                <c:pt idx="1341">
                  <c:v>159</c:v>
                </c:pt>
                <c:pt idx="1342">
                  <c:v>158</c:v>
                </c:pt>
                <c:pt idx="1343">
                  <c:v>157</c:v>
                </c:pt>
                <c:pt idx="1344">
                  <c:v>156</c:v>
                </c:pt>
                <c:pt idx="1345">
                  <c:v>155</c:v>
                </c:pt>
                <c:pt idx="1346">
                  <c:v>154</c:v>
                </c:pt>
                <c:pt idx="1347">
                  <c:v>153</c:v>
                </c:pt>
                <c:pt idx="1348">
                  <c:v>152</c:v>
                </c:pt>
                <c:pt idx="1349">
                  <c:v>151</c:v>
                </c:pt>
                <c:pt idx="1350">
                  <c:v>150</c:v>
                </c:pt>
                <c:pt idx="1351">
                  <c:v>149</c:v>
                </c:pt>
                <c:pt idx="1352">
                  <c:v>148</c:v>
                </c:pt>
                <c:pt idx="1353">
                  <c:v>147</c:v>
                </c:pt>
                <c:pt idx="1354">
                  <c:v>146</c:v>
                </c:pt>
                <c:pt idx="1355">
                  <c:v>145</c:v>
                </c:pt>
                <c:pt idx="1356">
                  <c:v>144</c:v>
                </c:pt>
                <c:pt idx="1357">
                  <c:v>143</c:v>
                </c:pt>
                <c:pt idx="1358">
                  <c:v>142</c:v>
                </c:pt>
                <c:pt idx="1359">
                  <c:v>141</c:v>
                </c:pt>
                <c:pt idx="1360">
                  <c:v>140</c:v>
                </c:pt>
                <c:pt idx="1361">
                  <c:v>139</c:v>
                </c:pt>
                <c:pt idx="1362">
                  <c:v>138</c:v>
                </c:pt>
                <c:pt idx="1363">
                  <c:v>137</c:v>
                </c:pt>
                <c:pt idx="1364">
                  <c:v>136</c:v>
                </c:pt>
                <c:pt idx="1365">
                  <c:v>135</c:v>
                </c:pt>
                <c:pt idx="1366">
                  <c:v>134</c:v>
                </c:pt>
                <c:pt idx="1367">
                  <c:v>133</c:v>
                </c:pt>
                <c:pt idx="1368">
                  <c:v>132</c:v>
                </c:pt>
                <c:pt idx="1369">
                  <c:v>131</c:v>
                </c:pt>
                <c:pt idx="1370">
                  <c:v>130</c:v>
                </c:pt>
                <c:pt idx="1371">
                  <c:v>129</c:v>
                </c:pt>
                <c:pt idx="1372">
                  <c:v>128</c:v>
                </c:pt>
                <c:pt idx="1373">
                  <c:v>127</c:v>
                </c:pt>
                <c:pt idx="1374">
                  <c:v>126</c:v>
                </c:pt>
                <c:pt idx="1375">
                  <c:v>125</c:v>
                </c:pt>
                <c:pt idx="1376">
                  <c:v>124</c:v>
                </c:pt>
                <c:pt idx="1377">
                  <c:v>123</c:v>
                </c:pt>
                <c:pt idx="1378">
                  <c:v>122</c:v>
                </c:pt>
                <c:pt idx="1379">
                  <c:v>121</c:v>
                </c:pt>
                <c:pt idx="1380">
                  <c:v>120</c:v>
                </c:pt>
                <c:pt idx="1381">
                  <c:v>119</c:v>
                </c:pt>
                <c:pt idx="1382">
                  <c:v>118</c:v>
                </c:pt>
                <c:pt idx="1383">
                  <c:v>117</c:v>
                </c:pt>
                <c:pt idx="1384">
                  <c:v>116</c:v>
                </c:pt>
                <c:pt idx="1385">
                  <c:v>115</c:v>
                </c:pt>
                <c:pt idx="1386">
                  <c:v>114</c:v>
                </c:pt>
                <c:pt idx="1387">
                  <c:v>113</c:v>
                </c:pt>
                <c:pt idx="1388">
                  <c:v>112</c:v>
                </c:pt>
                <c:pt idx="1389">
                  <c:v>111</c:v>
                </c:pt>
                <c:pt idx="1390">
                  <c:v>110</c:v>
                </c:pt>
                <c:pt idx="1391">
                  <c:v>109</c:v>
                </c:pt>
                <c:pt idx="1392">
                  <c:v>108</c:v>
                </c:pt>
                <c:pt idx="1393">
                  <c:v>107</c:v>
                </c:pt>
                <c:pt idx="1394">
                  <c:v>106</c:v>
                </c:pt>
                <c:pt idx="1395">
                  <c:v>105</c:v>
                </c:pt>
                <c:pt idx="1396">
                  <c:v>104</c:v>
                </c:pt>
                <c:pt idx="1397">
                  <c:v>103</c:v>
                </c:pt>
                <c:pt idx="1398">
                  <c:v>102</c:v>
                </c:pt>
                <c:pt idx="1399">
                  <c:v>101</c:v>
                </c:pt>
                <c:pt idx="1400">
                  <c:v>100</c:v>
                </c:pt>
                <c:pt idx="1401">
                  <c:v>99</c:v>
                </c:pt>
                <c:pt idx="1402">
                  <c:v>98</c:v>
                </c:pt>
                <c:pt idx="1403">
                  <c:v>97</c:v>
                </c:pt>
                <c:pt idx="1404">
                  <c:v>96</c:v>
                </c:pt>
                <c:pt idx="1405">
                  <c:v>95</c:v>
                </c:pt>
                <c:pt idx="1406">
                  <c:v>94</c:v>
                </c:pt>
                <c:pt idx="1407">
                  <c:v>93</c:v>
                </c:pt>
                <c:pt idx="1408">
                  <c:v>92</c:v>
                </c:pt>
                <c:pt idx="1409">
                  <c:v>91</c:v>
                </c:pt>
                <c:pt idx="1410">
                  <c:v>90</c:v>
                </c:pt>
                <c:pt idx="1411">
                  <c:v>89</c:v>
                </c:pt>
                <c:pt idx="1412">
                  <c:v>88</c:v>
                </c:pt>
                <c:pt idx="1413">
                  <c:v>87</c:v>
                </c:pt>
                <c:pt idx="1414">
                  <c:v>86</c:v>
                </c:pt>
                <c:pt idx="1415">
                  <c:v>85</c:v>
                </c:pt>
                <c:pt idx="1416">
                  <c:v>84</c:v>
                </c:pt>
                <c:pt idx="1417">
                  <c:v>83</c:v>
                </c:pt>
                <c:pt idx="1418">
                  <c:v>82</c:v>
                </c:pt>
                <c:pt idx="1419">
                  <c:v>81</c:v>
                </c:pt>
                <c:pt idx="1420">
                  <c:v>80</c:v>
                </c:pt>
                <c:pt idx="1421">
                  <c:v>79</c:v>
                </c:pt>
                <c:pt idx="1422">
                  <c:v>78</c:v>
                </c:pt>
                <c:pt idx="1423">
                  <c:v>77</c:v>
                </c:pt>
                <c:pt idx="1424">
                  <c:v>76</c:v>
                </c:pt>
                <c:pt idx="1425">
                  <c:v>75</c:v>
                </c:pt>
                <c:pt idx="1426">
                  <c:v>74</c:v>
                </c:pt>
                <c:pt idx="1427">
                  <c:v>73</c:v>
                </c:pt>
                <c:pt idx="1428">
                  <c:v>72</c:v>
                </c:pt>
                <c:pt idx="1429">
                  <c:v>71</c:v>
                </c:pt>
                <c:pt idx="1430">
                  <c:v>70</c:v>
                </c:pt>
                <c:pt idx="1431">
                  <c:v>69</c:v>
                </c:pt>
                <c:pt idx="1432">
                  <c:v>68</c:v>
                </c:pt>
                <c:pt idx="1433">
                  <c:v>67</c:v>
                </c:pt>
                <c:pt idx="1434">
                  <c:v>66</c:v>
                </c:pt>
                <c:pt idx="1435">
                  <c:v>65</c:v>
                </c:pt>
                <c:pt idx="1436">
                  <c:v>64</c:v>
                </c:pt>
                <c:pt idx="1437">
                  <c:v>63</c:v>
                </c:pt>
                <c:pt idx="1438">
                  <c:v>62</c:v>
                </c:pt>
                <c:pt idx="1439">
                  <c:v>61</c:v>
                </c:pt>
                <c:pt idx="1440">
                  <c:v>60</c:v>
                </c:pt>
                <c:pt idx="1441">
                  <c:v>59</c:v>
                </c:pt>
                <c:pt idx="1442">
                  <c:v>58</c:v>
                </c:pt>
                <c:pt idx="1443">
                  <c:v>57</c:v>
                </c:pt>
                <c:pt idx="1444">
                  <c:v>56</c:v>
                </c:pt>
                <c:pt idx="1445">
                  <c:v>55</c:v>
                </c:pt>
                <c:pt idx="1446">
                  <c:v>54</c:v>
                </c:pt>
                <c:pt idx="1447">
                  <c:v>53</c:v>
                </c:pt>
                <c:pt idx="1448">
                  <c:v>52</c:v>
                </c:pt>
                <c:pt idx="1449">
                  <c:v>51</c:v>
                </c:pt>
                <c:pt idx="1450">
                  <c:v>50</c:v>
                </c:pt>
                <c:pt idx="1451">
                  <c:v>49</c:v>
                </c:pt>
                <c:pt idx="1452">
                  <c:v>48</c:v>
                </c:pt>
                <c:pt idx="1453">
                  <c:v>47</c:v>
                </c:pt>
                <c:pt idx="1454">
                  <c:v>46</c:v>
                </c:pt>
                <c:pt idx="1455">
                  <c:v>45</c:v>
                </c:pt>
                <c:pt idx="1456">
                  <c:v>44</c:v>
                </c:pt>
                <c:pt idx="1457">
                  <c:v>43</c:v>
                </c:pt>
                <c:pt idx="1458">
                  <c:v>42</c:v>
                </c:pt>
                <c:pt idx="1459">
                  <c:v>41</c:v>
                </c:pt>
                <c:pt idx="1460">
                  <c:v>40</c:v>
                </c:pt>
                <c:pt idx="1461">
                  <c:v>39</c:v>
                </c:pt>
                <c:pt idx="1462">
                  <c:v>38</c:v>
                </c:pt>
                <c:pt idx="1463">
                  <c:v>37</c:v>
                </c:pt>
                <c:pt idx="1464">
                  <c:v>36</c:v>
                </c:pt>
                <c:pt idx="1465">
                  <c:v>35</c:v>
                </c:pt>
                <c:pt idx="1466">
                  <c:v>34</c:v>
                </c:pt>
                <c:pt idx="1467">
                  <c:v>33</c:v>
                </c:pt>
                <c:pt idx="1468">
                  <c:v>32</c:v>
                </c:pt>
                <c:pt idx="1469">
                  <c:v>31</c:v>
                </c:pt>
                <c:pt idx="1470">
                  <c:v>30</c:v>
                </c:pt>
                <c:pt idx="1471">
                  <c:v>29</c:v>
                </c:pt>
                <c:pt idx="1472">
                  <c:v>28</c:v>
                </c:pt>
                <c:pt idx="1473">
                  <c:v>27</c:v>
                </c:pt>
                <c:pt idx="1474">
                  <c:v>26</c:v>
                </c:pt>
                <c:pt idx="1475">
                  <c:v>25</c:v>
                </c:pt>
                <c:pt idx="1476">
                  <c:v>24</c:v>
                </c:pt>
                <c:pt idx="1477">
                  <c:v>23</c:v>
                </c:pt>
                <c:pt idx="1478">
                  <c:v>22</c:v>
                </c:pt>
                <c:pt idx="1479">
                  <c:v>21</c:v>
                </c:pt>
                <c:pt idx="1480">
                  <c:v>20</c:v>
                </c:pt>
                <c:pt idx="1481">
                  <c:v>19</c:v>
                </c:pt>
                <c:pt idx="1482">
                  <c:v>18</c:v>
                </c:pt>
                <c:pt idx="1483">
                  <c:v>17</c:v>
                </c:pt>
                <c:pt idx="1484">
                  <c:v>16</c:v>
                </c:pt>
                <c:pt idx="1485">
                  <c:v>15</c:v>
                </c:pt>
                <c:pt idx="1486">
                  <c:v>14</c:v>
                </c:pt>
                <c:pt idx="1487">
                  <c:v>13</c:v>
                </c:pt>
                <c:pt idx="1488">
                  <c:v>12</c:v>
                </c:pt>
                <c:pt idx="1489">
                  <c:v>11</c:v>
                </c:pt>
                <c:pt idx="1490">
                  <c:v>10</c:v>
                </c:pt>
                <c:pt idx="1491">
                  <c:v>9</c:v>
                </c:pt>
                <c:pt idx="1492">
                  <c:v>8</c:v>
                </c:pt>
                <c:pt idx="1493">
                  <c:v>7</c:v>
                </c:pt>
                <c:pt idx="1494">
                  <c:v>6</c:v>
                </c:pt>
                <c:pt idx="1495">
                  <c:v>5</c:v>
                </c:pt>
                <c:pt idx="1496">
                  <c:v>4</c:v>
                </c:pt>
                <c:pt idx="1497">
                  <c:v>3</c:v>
                </c:pt>
                <c:pt idx="1498">
                  <c:v>2</c:v>
                </c:pt>
                <c:pt idx="1499">
                  <c:v>1</c:v>
                </c:pt>
              </c:numCache>
            </c:numRef>
          </c:cat>
          <c:val>
            <c:numRef>
              <c:f>Sheet1!$S$9:$S$1508</c:f>
              <c:numCache>
                <c:formatCode>0.000000</c:formatCode>
                <c:ptCount val="1500"/>
                <c:pt idx="0">
                  <c:v>2.089665010647861E-5</c:v>
                </c:pt>
                <c:pt idx="1">
                  <c:v>2.1196316095406555E-5</c:v>
                </c:pt>
                <c:pt idx="2">
                  <c:v>2.1500291485225145E-5</c:v>
                </c:pt>
                <c:pt idx="3">
                  <c:v>2.1808638306869168E-5</c:v>
                </c:pt>
                <c:pt idx="4">
                  <c:v>2.2121419482985546E-5</c:v>
                </c:pt>
                <c:pt idx="5">
                  <c:v>2.2438698840695027E-5</c:v>
                </c:pt>
                <c:pt idx="6">
                  <c:v>2.2760541124541787E-5</c:v>
                </c:pt>
                <c:pt idx="7">
                  <c:v>2.3087012009622251E-5</c:v>
                </c:pt>
                <c:pt idx="8">
                  <c:v>2.3418178114901499E-5</c:v>
                </c:pt>
                <c:pt idx="9">
                  <c:v>2.3754107016718624E-5</c:v>
                </c:pt>
                <c:pt idx="10">
                  <c:v>2.4094867262485097E-5</c:v>
                </c:pt>
                <c:pt idx="11">
                  <c:v>2.4440528384576293E-5</c:v>
                </c:pt>
                <c:pt idx="12">
                  <c:v>2.4791160914419664E-5</c:v>
                </c:pt>
                <c:pt idx="13">
                  <c:v>2.5146836396782416E-5</c:v>
                </c:pt>
                <c:pt idx="14">
                  <c:v>2.5507627404265133E-5</c:v>
                </c:pt>
                <c:pt idx="15">
                  <c:v>2.5873607551996398E-5</c:v>
                </c:pt>
                <c:pt idx="16">
                  <c:v>2.6244851512539741E-5</c:v>
                </c:pt>
                <c:pt idx="17">
                  <c:v>2.6621435031007706E-5</c:v>
                </c:pt>
                <c:pt idx="18">
                  <c:v>2.7003434940393443E-5</c:v>
                </c:pt>
                <c:pt idx="19">
                  <c:v>2.7390929177119009E-5</c:v>
                </c:pt>
                <c:pt idx="20">
                  <c:v>2.7783996796803713E-5</c:v>
                </c:pt>
                <c:pt idx="21">
                  <c:v>2.8182717990252622E-5</c:v>
                </c:pt>
                <c:pt idx="22">
                  <c:v>2.8587174099677853E-5</c:v>
                </c:pt>
                <c:pt idx="23">
                  <c:v>2.8997447635142621E-5</c:v>
                </c:pt>
                <c:pt idx="24">
                  <c:v>2.9413622291244831E-5</c:v>
                </c:pt>
                <c:pt idx="25">
                  <c:v>2.9835782964030014E-5</c:v>
                </c:pt>
                <c:pt idx="26">
                  <c:v>3.0264015768147764E-5</c:v>
                </c:pt>
                <c:pt idx="27">
                  <c:v>3.0698408054251477E-5</c:v>
                </c:pt>
                <c:pt idx="28">
                  <c:v>3.1139048426641076E-5</c:v>
                </c:pt>
                <c:pt idx="29">
                  <c:v>3.1586026761155465E-5</c:v>
                </c:pt>
                <c:pt idx="30">
                  <c:v>3.2039434223323316E-5</c:v>
                </c:pt>
                <c:pt idx="31">
                  <c:v>3.249936328676123E-5</c:v>
                </c:pt>
                <c:pt idx="32">
                  <c:v>3.2965907751839693E-5</c:v>
                </c:pt>
                <c:pt idx="33">
                  <c:v>3.3439162764610285E-5</c:v>
                </c:pt>
                <c:pt idx="34">
                  <c:v>3.391922483599782E-5</c:v>
                </c:pt>
                <c:pt idx="35">
                  <c:v>3.4406191861267707E-5</c:v>
                </c:pt>
                <c:pt idx="36">
                  <c:v>3.4900163139763764E-5</c:v>
                </c:pt>
                <c:pt idx="37">
                  <c:v>3.5401239394929331E-5</c:v>
                </c:pt>
                <c:pt idx="38">
                  <c:v>3.5909522794606466E-5</c:v>
                </c:pt>
                <c:pt idx="39">
                  <c:v>3.6425116971623378E-5</c:v>
                </c:pt>
                <c:pt idx="40">
                  <c:v>3.6948127044675174E-5</c:v>
                </c:pt>
                <c:pt idx="41">
                  <c:v>3.7478659639493042E-5</c:v>
                </c:pt>
                <c:pt idx="42">
                  <c:v>3.8016822910315089E-5</c:v>
                </c:pt>
                <c:pt idx="43">
                  <c:v>3.8562726561664797E-5</c:v>
                </c:pt>
                <c:pt idx="44">
                  <c:v>3.911648187042473E-5</c:v>
                </c:pt>
                <c:pt idx="45">
                  <c:v>3.9678201708232177E-5</c:v>
                </c:pt>
                <c:pt idx="46">
                  <c:v>4.0248000564187028E-5</c:v>
                </c:pt>
                <c:pt idx="47">
                  <c:v>4.0825994567873929E-5</c:v>
                </c:pt>
                <c:pt idx="48">
                  <c:v>4.1412301512716632E-5</c:v>
                </c:pt>
                <c:pt idx="49">
                  <c:v>4.2007040879657989E-5</c:v>
                </c:pt>
                <c:pt idx="50">
                  <c:v>4.2610333861171673E-5</c:v>
                </c:pt>
                <c:pt idx="51">
                  <c:v>4.3222303385612267E-5</c:v>
                </c:pt>
                <c:pt idx="52">
                  <c:v>4.3843074141909158E-5</c:v>
                </c:pt>
                <c:pt idx="53">
                  <c:v>4.4472772604606652E-5</c:v>
                </c:pt>
                <c:pt idx="54">
                  <c:v>4.5111527059258544E-5</c:v>
                </c:pt>
                <c:pt idx="55">
                  <c:v>4.5759467628174627E-5</c:v>
                </c:pt>
                <c:pt idx="56">
                  <c:v>4.6416726296534116E-5</c:v>
                </c:pt>
                <c:pt idx="57">
                  <c:v>4.7083436938859981E-5</c:v>
                </c:pt>
                <c:pt idx="58">
                  <c:v>4.7759735345875684E-5</c:v>
                </c:pt>
                <c:pt idx="59">
                  <c:v>4.8445759251726649E-5</c:v>
                </c:pt>
                <c:pt idx="60">
                  <c:v>4.9141648361588941E-5</c:v>
                </c:pt>
                <c:pt idx="61">
                  <c:v>4.9847544379672016E-5</c:v>
                </c:pt>
                <c:pt idx="62">
                  <c:v>5.0563591037600071E-5</c:v>
                </c:pt>
                <c:pt idx="63">
                  <c:v>5.1289934123206876E-5</c:v>
                </c:pt>
                <c:pt idx="64">
                  <c:v>5.2026721509722451E-5</c:v>
                </c:pt>
                <c:pt idx="65">
                  <c:v>5.2774103185374314E-5</c:v>
                </c:pt>
                <c:pt idx="66">
                  <c:v>5.3532231283408388E-5</c:v>
                </c:pt>
                <c:pt idx="67">
                  <c:v>5.430126011251377E-5</c:v>
                </c:pt>
                <c:pt idx="68">
                  <c:v>5.508134618769812E-5</c:v>
                </c:pt>
                <c:pt idx="69">
                  <c:v>5.5872648261574185E-5</c:v>
                </c:pt>
                <c:pt idx="70">
                  <c:v>5.6675327356091495E-5</c:v>
                </c:pt>
                <c:pt idx="71">
                  <c:v>5.7489546794720631E-5</c:v>
                </c:pt>
                <c:pt idx="72">
                  <c:v>5.8315472235074151E-5</c:v>
                </c:pt>
                <c:pt idx="73">
                  <c:v>5.9153271701991419E-5</c:v>
                </c:pt>
                <c:pt idx="74">
                  <c:v>6.0003115621087074E-5</c:v>
                </c:pt>
                <c:pt idx="75">
                  <c:v>6.0865176852763317E-5</c:v>
                </c:pt>
                <c:pt idx="76">
                  <c:v>6.1739630726702908E-5</c:v>
                </c:pt>
                <c:pt idx="77">
                  <c:v>6.2626655076840923E-5</c:v>
                </c:pt>
                <c:pt idx="78">
                  <c:v>6.3526430276824412E-5</c:v>
                </c:pt>
                <c:pt idx="79">
                  <c:v>6.4439139275971098E-5</c:v>
                </c:pt>
                <c:pt idx="80">
                  <c:v>6.5364967635727058E-5</c:v>
                </c:pt>
                <c:pt idx="81">
                  <c:v>6.630410356663508E-5</c:v>
                </c:pt>
                <c:pt idx="82">
                  <c:v>6.7256737965813452E-5</c:v>
                </c:pt>
                <c:pt idx="83">
                  <c:v>6.8223064454965562E-5</c:v>
                </c:pt>
                <c:pt idx="84">
                  <c:v>6.9203279418916669E-5</c:v>
                </c:pt>
                <c:pt idx="85">
                  <c:v>7.0197582044681324E-5</c:v>
                </c:pt>
                <c:pt idx="86">
                  <c:v>7.1206174361089405E-5</c:v>
                </c:pt>
                <c:pt idx="87">
                  <c:v>7.2229261278943552E-5</c:v>
                </c:pt>
                <c:pt idx="88">
                  <c:v>7.3267050631762985E-5</c:v>
                </c:pt>
                <c:pt idx="89">
                  <c:v>7.4319753217064828E-5</c:v>
                </c:pt>
                <c:pt idx="90">
                  <c:v>7.5387582838246702E-5</c:v>
                </c:pt>
                <c:pt idx="91">
                  <c:v>7.6470756347033619E-5</c:v>
                </c:pt>
                <c:pt idx="92">
                  <c:v>7.7569493686518981E-5</c:v>
                </c:pt>
                <c:pt idx="93">
                  <c:v>7.86840179348164E-5</c:v>
                </c:pt>
                <c:pt idx="94">
                  <c:v>7.9814555349302249E-5</c:v>
                </c:pt>
                <c:pt idx="95">
                  <c:v>8.096133541148213E-5</c:v>
                </c:pt>
                <c:pt idx="96">
                  <c:v>8.212459087247248E-5</c:v>
                </c:pt>
                <c:pt idx="97">
                  <c:v>8.3304557799129207E-5</c:v>
                </c:pt>
                <c:pt idx="98">
                  <c:v>8.450147562080077E-5</c:v>
                </c:pt>
                <c:pt idx="99">
                  <c:v>8.5715587176737206E-5</c:v>
                </c:pt>
                <c:pt idx="100">
                  <c:v>8.6947138764154362E-5</c:v>
                </c:pt>
                <c:pt idx="101">
                  <c:v>8.8196380186971986E-5</c:v>
                </c:pt>
                <c:pt idx="102">
                  <c:v>8.9463564805218959E-5</c:v>
                </c:pt>
                <c:pt idx="103">
                  <c:v>9.0748949585122752E-5</c:v>
                </c:pt>
                <c:pt idx="104">
                  <c:v>9.2052795149903189E-5</c:v>
                </c:pt>
                <c:pt idx="105">
                  <c:v>9.3375365831258563E-5</c:v>
                </c:pt>
                <c:pt idx="106">
                  <c:v>9.4716929721569038E-5</c:v>
                </c:pt>
                <c:pt idx="107">
                  <c:v>9.6077758726828837E-5</c:v>
                </c:pt>
                <c:pt idx="108">
                  <c:v>9.7458128620292789E-5</c:v>
                </c:pt>
                <c:pt idx="109">
                  <c:v>9.8858319096892729E-5</c:v>
                </c:pt>
                <c:pt idx="110">
                  <c:v>1.0027861382837359E-4</c:v>
                </c:pt>
                <c:pt idx="111">
                  <c:v>1.0171930051921998E-4</c:v>
                </c:pt>
                <c:pt idx="112">
                  <c:v>1.0318067096334204E-4</c:v>
                </c:pt>
                <c:pt idx="113">
                  <c:v>1.0466302110154153E-4</c:v>
                </c:pt>
                <c:pt idx="114">
                  <c:v>1.06166651079776E-4</c:v>
                </c:pt>
                <c:pt idx="115">
                  <c:v>1.0769186530823613E-4</c:v>
                </c:pt>
                <c:pt idx="116">
                  <c:v>1.0923897252121796E-4</c:v>
                </c:pt>
                <c:pt idx="117">
                  <c:v>1.1080828583783422E-4</c:v>
                </c:pt>
                <c:pt idx="118">
                  <c:v>1.1240012282356857E-4</c:v>
                </c:pt>
                <c:pt idx="119">
                  <c:v>1.1401480555265879E-4</c:v>
                </c:pt>
                <c:pt idx="120">
                  <c:v>1.156526606713567E-4</c:v>
                </c:pt>
                <c:pt idx="121">
                  <c:v>1.1731401946204758E-4</c:v>
                </c:pt>
                <c:pt idx="122">
                  <c:v>1.1899921790826864E-4</c:v>
                </c:pt>
                <c:pt idx="123">
                  <c:v>1.2070859676060108E-4</c:v>
                </c:pt>
                <c:pt idx="124">
                  <c:v>1.2244250160347588E-4</c:v>
                </c:pt>
                <c:pt idx="125">
                  <c:v>1.2420128292291863E-4</c:v>
                </c:pt>
                <c:pt idx="126">
                  <c:v>1.2598529617518359E-4</c:v>
                </c:pt>
                <c:pt idx="127">
                  <c:v>1.2779490185637528E-4</c:v>
                </c:pt>
                <c:pt idx="128">
                  <c:v>1.296304655729957E-4</c:v>
                </c:pt>
                <c:pt idx="129">
                  <c:v>1.3149235811347042E-4</c:v>
                </c:pt>
                <c:pt idx="130">
                  <c:v>1.3338095552065666E-4</c:v>
                </c:pt>
                <c:pt idx="131">
                  <c:v>1.3529663916535514E-4</c:v>
                </c:pt>
                <c:pt idx="132">
                  <c:v>1.3723979582079939E-4</c:v>
                </c:pt>
                <c:pt idx="133">
                  <c:v>1.3921081773820619E-4</c:v>
                </c:pt>
                <c:pt idx="134">
                  <c:v>1.4121010272333189E-4</c:v>
                </c:pt>
                <c:pt idx="135">
                  <c:v>1.4323805421409178E-4</c:v>
                </c:pt>
                <c:pt idx="136">
                  <c:v>1.4529508135923059E-4</c:v>
                </c:pt>
                <c:pt idx="137">
                  <c:v>1.4738159909808386E-4</c:v>
                </c:pt>
                <c:pt idx="138">
                  <c:v>1.494980282414181E-4</c:v>
                </c:pt>
                <c:pt idx="139">
                  <c:v>1.5164479555337729E-4</c:v>
                </c:pt>
                <c:pt idx="140">
                  <c:v>1.5382233383456044E-4</c:v>
                </c:pt>
                <c:pt idx="141">
                  <c:v>1.5603108200622163E-4</c:v>
                </c:pt>
                <c:pt idx="142">
                  <c:v>1.5827148519562142E-4</c:v>
                </c:pt>
                <c:pt idx="143">
                  <c:v>1.6054399482255606E-4</c:v>
                </c:pt>
                <c:pt idx="144">
                  <c:v>1.6284906868704692E-4</c:v>
                </c:pt>
                <c:pt idx="145">
                  <c:v>1.6518717105823424E-4</c:v>
                </c:pt>
                <c:pt idx="146">
                  <c:v>1.6755877276450115E-4</c:v>
                </c:pt>
                <c:pt idx="147">
                  <c:v>1.6996435128478765E-4</c:v>
                </c:pt>
                <c:pt idx="148">
                  <c:v>1.7240439084117905E-4</c:v>
                </c:pt>
                <c:pt idx="149">
                  <c:v>1.7487938249275453E-4</c:v>
                </c:pt>
                <c:pt idx="150">
                  <c:v>1.7738982423068264E-4</c:v>
                </c:pt>
                <c:pt idx="151">
                  <c:v>1.7993622107464929E-4</c:v>
                </c:pt>
                <c:pt idx="152">
                  <c:v>1.8251908517056027E-4</c:v>
                </c:pt>
                <c:pt idx="153">
                  <c:v>1.8513893588961033E-4</c:v>
                </c:pt>
                <c:pt idx="154">
                  <c:v>1.8779629992865123E-4</c:v>
                </c:pt>
                <c:pt idx="155">
                  <c:v>1.9049171141197497E-4</c:v>
                </c:pt>
                <c:pt idx="156">
                  <c:v>1.93225711994425E-4</c:v>
                </c:pt>
                <c:pt idx="157">
                  <c:v>1.9599885096594711E-4</c:v>
                </c:pt>
                <c:pt idx="158">
                  <c:v>1.9881168535753547E-4</c:v>
                </c:pt>
                <c:pt idx="159">
                  <c:v>2.0166478004862484E-4</c:v>
                </c:pt>
                <c:pt idx="160">
                  <c:v>2.0455870787592409E-4</c:v>
                </c:pt>
                <c:pt idx="161">
                  <c:v>2.0749404974374538E-4</c:v>
                </c:pt>
                <c:pt idx="162">
                  <c:v>2.1047139473579735E-4</c:v>
                </c:pt>
                <c:pt idx="163">
                  <c:v>2.1349134022851418E-4</c:v>
                </c:pt>
                <c:pt idx="164">
                  <c:v>2.1655449200591364E-4</c:v>
                </c:pt>
                <c:pt idx="165">
                  <c:v>2.1966146437597629E-4</c:v>
                </c:pt>
                <c:pt idx="166">
                  <c:v>2.2281288028865455E-4</c:v>
                </c:pt>
                <c:pt idx="167">
                  <c:v>2.2600937145540178E-4</c:v>
                </c:pt>
                <c:pt idx="168">
                  <c:v>2.2925157847039255E-4</c:v>
                </c:pt>
                <c:pt idx="169">
                  <c:v>2.3254015093330271E-4</c:v>
                </c:pt>
                <c:pt idx="170">
                  <c:v>2.3587574757379811E-4</c:v>
                </c:pt>
                <c:pt idx="171">
                  <c:v>2.3925903637767059E-4</c:v>
                </c:pt>
                <c:pt idx="172">
                  <c:v>2.4269069471469091E-4</c:v>
                </c:pt>
                <c:pt idx="173">
                  <c:v>2.4617140946815578E-4</c:v>
                </c:pt>
                <c:pt idx="174">
                  <c:v>2.4970187716620861E-4</c:v>
                </c:pt>
                <c:pt idx="175">
                  <c:v>2.5328280411491253E-4</c:v>
                </c:pt>
                <c:pt idx="176">
                  <c:v>2.5691490653309101E-4</c:v>
                </c:pt>
                <c:pt idx="177">
                  <c:v>2.605989106890132E-4</c:v>
                </c:pt>
                <c:pt idx="178">
                  <c:v>2.6433555303889315E-4</c:v>
                </c:pt>
                <c:pt idx="179">
                  <c:v>2.6812558036723314E-4</c:v>
                </c:pt>
                <c:pt idx="180">
                  <c:v>2.7196974992909766E-4</c:v>
                </c:pt>
                <c:pt idx="181">
                  <c:v>2.7586882959422873E-4</c:v>
                </c:pt>
                <c:pt idx="182">
                  <c:v>2.7982359799314503E-4</c:v>
                </c:pt>
                <c:pt idx="183">
                  <c:v>2.8383484466516502E-4</c:v>
                </c:pt>
                <c:pt idx="184">
                  <c:v>2.8790337020840879E-4</c:v>
                </c:pt>
                <c:pt idx="185">
                  <c:v>2.9202998643184101E-4</c:v>
                </c:pt>
                <c:pt idx="186">
                  <c:v>2.9621551650930116E-4</c:v>
                </c:pt>
                <c:pt idx="187">
                  <c:v>3.0046079513559745E-4</c:v>
                </c:pt>
                <c:pt idx="188">
                  <c:v>3.0476666868472119E-4</c:v>
                </c:pt>
                <c:pt idx="189">
                  <c:v>3.0913399537012368E-4</c:v>
                </c:pt>
                <c:pt idx="190">
                  <c:v>3.1356364540716987E-4</c:v>
                </c:pt>
                <c:pt idx="191">
                  <c:v>3.1805650117770144E-4</c:v>
                </c:pt>
                <c:pt idx="192">
                  <c:v>3.2261345739687528E-4</c:v>
                </c:pt>
                <c:pt idx="193">
                  <c:v>3.2723542128212501E-4</c:v>
                </c:pt>
                <c:pt idx="194">
                  <c:v>3.3192331272443595E-4</c:v>
                </c:pt>
                <c:pt idx="195">
                  <c:v>3.3667806446188671E-4</c:v>
                </c:pt>
                <c:pt idx="196">
                  <c:v>3.4150062225547355E-4</c:v>
                </c:pt>
                <c:pt idx="197">
                  <c:v>3.4639194506727518E-4</c:v>
                </c:pt>
                <c:pt idx="198">
                  <c:v>3.5135300524099828E-4</c:v>
                </c:pt>
                <c:pt idx="199">
                  <c:v>3.5638478868489182E-4</c:v>
                </c:pt>
                <c:pt idx="200">
                  <c:v>3.6148829505710676E-4</c:v>
                </c:pt>
                <c:pt idx="201">
                  <c:v>3.6666453795350081E-4</c:v>
                </c:pt>
                <c:pt idx="202">
                  <c:v>3.7191454509792724E-4</c:v>
                </c:pt>
                <c:pt idx="203">
                  <c:v>3.7723935853501881E-4</c:v>
                </c:pt>
                <c:pt idx="204">
                  <c:v>3.8264003482558259E-4</c:v>
                </c:pt>
                <c:pt idx="205">
                  <c:v>3.8811764524449715E-4</c:v>
                </c:pt>
                <c:pt idx="206">
                  <c:v>3.9367327598127232E-4</c:v>
                </c:pt>
                <c:pt idx="207">
                  <c:v>3.9930802834324146E-4</c:v>
                </c:pt>
                <c:pt idx="208">
                  <c:v>4.0502301896143015E-4</c:v>
                </c:pt>
                <c:pt idx="209">
                  <c:v>4.1081937999913712E-4</c:v>
                </c:pt>
                <c:pt idx="210">
                  <c:v>4.1669825936325517E-4</c:v>
                </c:pt>
                <c:pt idx="211">
                  <c:v>4.2266082091838714E-4</c:v>
                </c:pt>
                <c:pt idx="212">
                  <c:v>4.2870824470374981E-4</c:v>
                </c:pt>
                <c:pt idx="213">
                  <c:v>4.3484172715298181E-4</c:v>
                </c:pt>
                <c:pt idx="214">
                  <c:v>4.4106248131676307E-4</c:v>
                </c:pt>
                <c:pt idx="215">
                  <c:v>4.4737173708838676E-4</c:v>
                </c:pt>
                <c:pt idx="216">
                  <c:v>4.5377074143235441E-4</c:v>
                </c:pt>
                <c:pt idx="217">
                  <c:v>4.6026075861582629E-4</c:v>
                </c:pt>
                <c:pt idx="218">
                  <c:v>4.6684307044323484E-4</c:v>
                </c:pt>
                <c:pt idx="219">
                  <c:v>4.7351897649389852E-4</c:v>
                </c:pt>
                <c:pt idx="220">
                  <c:v>4.8028979436274578E-4</c:v>
                </c:pt>
                <c:pt idx="221">
                  <c:v>4.8715685990422219E-4</c:v>
                </c:pt>
                <c:pt idx="222">
                  <c:v>4.941215274793365E-4</c:v>
                </c:pt>
                <c:pt idx="223">
                  <c:v>5.0118517020593444E-4</c:v>
                </c:pt>
                <c:pt idx="224">
                  <c:v>5.0834918021229025E-4</c:v>
                </c:pt>
                <c:pt idx="225">
                  <c:v>5.1561496889392349E-4</c:v>
                </c:pt>
                <c:pt idx="226">
                  <c:v>5.2298396717380782E-4</c:v>
                </c:pt>
                <c:pt idx="227">
                  <c:v>5.3045762576596218E-4</c:v>
                </c:pt>
                <c:pt idx="228">
                  <c:v>5.3803741544245528E-4</c:v>
                </c:pt>
                <c:pt idx="229">
                  <c:v>5.4572482730386109E-4</c:v>
                </c:pt>
                <c:pt idx="230">
                  <c:v>5.5352137305326988E-4</c:v>
                </c:pt>
                <c:pt idx="231">
                  <c:v>5.6142858527382159E-4</c:v>
                </c:pt>
                <c:pt idx="232">
                  <c:v>5.694480177098302E-4</c:v>
                </c:pt>
                <c:pt idx="233">
                  <c:v>5.7758124555157481E-4</c:v>
                </c:pt>
                <c:pt idx="234">
                  <c:v>5.8582986572374405E-4</c:v>
                </c:pt>
                <c:pt idx="235">
                  <c:v>5.9419549717764308E-4</c:v>
                </c:pt>
                <c:pt idx="236">
                  <c:v>6.0267978118716157E-4</c:v>
                </c:pt>
                <c:pt idx="237">
                  <c:v>6.1128438164853658E-4</c:v>
                </c:pt>
                <c:pt idx="238">
                  <c:v>6.2001098538401261E-4</c:v>
                </c:pt>
                <c:pt idx="239">
                  <c:v>6.2886130244940025E-4</c:v>
                </c:pt>
                <c:pt idx="240">
                  <c:v>6.3783706644565761E-4</c:v>
                </c:pt>
                <c:pt idx="241">
                  <c:v>6.4694003483433142E-4</c:v>
                </c:pt>
                <c:pt idx="242">
                  <c:v>6.5617198925721867E-4</c:v>
                </c:pt>
                <c:pt idx="243">
                  <c:v>6.655347358600224E-4</c:v>
                </c:pt>
                <c:pt idx="244">
                  <c:v>6.7503010562024244E-4</c:v>
                </c:pt>
                <c:pt idx="245">
                  <c:v>6.846599546791992E-4</c:v>
                </c:pt>
                <c:pt idx="246">
                  <c:v>6.9442616467833406E-4</c:v>
                </c:pt>
                <c:pt idx="247">
                  <c:v>7.0433064309988571E-4</c:v>
                </c:pt>
                <c:pt idx="248">
                  <c:v>7.14375323611776E-4</c:v>
                </c:pt>
                <c:pt idx="249">
                  <c:v>7.2456216641705472E-4</c:v>
                </c:pt>
                <c:pt idx="250">
                  <c:v>7.3489315860775283E-4</c:v>
                </c:pt>
                <c:pt idx="251">
                  <c:v>7.4537031452316031E-4</c:v>
                </c:pt>
                <c:pt idx="252">
                  <c:v>7.5599567611284049E-4</c:v>
                </c:pt>
                <c:pt idx="253">
                  <c:v>7.6677131330415483E-4</c:v>
                </c:pt>
                <c:pt idx="254">
                  <c:v>7.7769932437444904E-4</c:v>
                </c:pt>
                <c:pt idx="255">
                  <c:v>7.887818363280589E-4</c:v>
                </c:pt>
                <c:pt idx="256">
                  <c:v>8.0002100527803131E-4</c:v>
                </c:pt>
                <c:pt idx="257">
                  <c:v>8.1141901683272507E-4</c:v>
                </c:pt>
                <c:pt idx="258">
                  <c:v>8.2297808648732396E-4</c:v>
                </c:pt>
                <c:pt idx="259">
                  <c:v>8.3470046002023074E-4</c:v>
                </c:pt>
                <c:pt idx="260">
                  <c:v>8.4658841389458593E-4</c:v>
                </c:pt>
                <c:pt idx="261">
                  <c:v>8.5864425566483781E-4</c:v>
                </c:pt>
                <c:pt idx="262">
                  <c:v>8.7087032438832928E-4</c:v>
                </c:pt>
                <c:pt idx="263">
                  <c:v>8.8326899104228804E-4</c:v>
                </c:pt>
                <c:pt idx="264">
                  <c:v>8.9584265894586249E-4</c:v>
                </c:pt>
                <c:pt idx="265">
                  <c:v>9.0859376418763653E-4</c:v>
                </c:pt>
                <c:pt idx="266">
                  <c:v>9.2152477605846072E-4</c:v>
                </c:pt>
                <c:pt idx="267">
                  <c:v>9.3463819748967815E-4</c:v>
                </c:pt>
                <c:pt idx="268">
                  <c:v>9.4793656549691093E-4</c:v>
                </c:pt>
                <c:pt idx="269">
                  <c:v>9.6142245162943087E-4</c:v>
                </c:pt>
                <c:pt idx="270">
                  <c:v>9.7509846242516466E-4</c:v>
                </c:pt>
                <c:pt idx="271">
                  <c:v>9.8896723987125599E-4</c:v>
                </c:pt>
                <c:pt idx="272">
                  <c:v>1.003031461870607E-3</c:v>
                </c:pt>
                <c:pt idx="273">
                  <c:v>1.0172938427141214E-3</c:v>
                </c:pt>
                <c:pt idx="274">
                  <c:v>1.0317571335588251E-3</c:v>
                </c:pt>
                <c:pt idx="275">
                  <c:v>1.046424122912074E-3</c:v>
                </c:pt>
                <c:pt idx="276">
                  <c:v>1.0612976371215705E-3</c:v>
                </c:pt>
                <c:pt idx="277">
                  <c:v>1.0763805408717979E-3</c:v>
                </c:pt>
                <c:pt idx="278">
                  <c:v>1.0916757376862928E-3</c:v>
                </c:pt>
                <c:pt idx="279">
                  <c:v>1.1071861704364235E-3</c:v>
                </c:pt>
                <c:pt idx="280">
                  <c:v>1.1229148218562597E-3</c:v>
                </c:pt>
                <c:pt idx="281">
                  <c:v>1.1388647150640612E-3</c:v>
                </c:pt>
                <c:pt idx="282">
                  <c:v>1.1550389140899341E-3</c:v>
                </c:pt>
                <c:pt idx="283">
                  <c:v>1.1714405244103482E-3</c:v>
                </c:pt>
                <c:pt idx="284">
                  <c:v>1.1880726934888964E-3</c:v>
                </c:pt>
                <c:pt idx="285">
                  <c:v>1.2049386113240747E-3</c:v>
                </c:pt>
                <c:pt idx="286">
                  <c:v>1.2220415110035048E-3</c:v>
                </c:pt>
                <c:pt idx="287">
                  <c:v>1.2393846692652271E-3</c:v>
                </c:pt>
                <c:pt idx="288">
                  <c:v>1.2569714070657337E-3</c:v>
                </c:pt>
                <c:pt idx="289">
                  <c:v>1.2748050901550451E-3</c:v>
                </c:pt>
                <c:pt idx="290">
                  <c:v>1.2928891296588288E-3</c:v>
                </c:pt>
                <c:pt idx="291">
                  <c:v>1.3112269826676816E-3</c:v>
                </c:pt>
                <c:pt idx="292">
                  <c:v>1.3298221528335874E-3</c:v>
                </c:pt>
                <c:pt idx="293">
                  <c:v>1.3486781909736643E-3</c:v>
                </c:pt>
                <c:pt idx="294">
                  <c:v>1.3677986956812998E-3</c:v>
                </c:pt>
                <c:pt idx="295">
                  <c:v>1.3871873139447697E-3</c:v>
                </c:pt>
                <c:pt idx="296">
                  <c:v>1.4068477417733011E-3</c:v>
                </c:pt>
                <c:pt idx="297">
                  <c:v>1.4267837248308959E-3</c:v>
                </c:pt>
                <c:pt idx="298">
                  <c:v>1.4469990590776911E-3</c:v>
                </c:pt>
                <c:pt idx="299">
                  <c:v>1.4674975914192952E-3</c:v>
                </c:pt>
                <c:pt idx="300">
                  <c:v>1.4882832203637734E-3</c:v>
                </c:pt>
                <c:pt idx="301">
                  <c:v>1.5093598966867852E-3</c:v>
                </c:pt>
                <c:pt idx="302">
                  <c:v>1.5307316241046243E-3</c:v>
                </c:pt>
                <c:pt idx="303">
                  <c:v>1.5524024599555355E-3</c:v>
                </c:pt>
                <c:pt idx="304">
                  <c:v>1.5743765158890519E-3</c:v>
                </c:pt>
                <c:pt idx="305">
                  <c:v>1.5966579585638232E-3</c:v>
                </c:pt>
                <c:pt idx="306">
                  <c:v>1.6192510103537245E-3</c:v>
                </c:pt>
                <c:pt idx="307">
                  <c:v>1.6421599500625484E-3</c:v>
                </c:pt>
                <c:pt idx="308">
                  <c:v>1.6653891136470594E-3</c:v>
                </c:pt>
                <c:pt idx="309">
                  <c:v>1.6889428949490898E-3</c:v>
                </c:pt>
                <c:pt idx="310">
                  <c:v>1.7128257464359288E-3</c:v>
                </c:pt>
                <c:pt idx="311">
                  <c:v>1.7370421799499599E-3</c:v>
                </c:pt>
                <c:pt idx="312">
                  <c:v>1.7615967674670585E-3</c:v>
                </c:pt>
                <c:pt idx="313">
                  <c:v>1.786494141864073E-3</c:v>
                </c:pt>
                <c:pt idx="314">
                  <c:v>1.8117389976953187E-3</c:v>
                </c:pt>
                <c:pt idx="315">
                  <c:v>1.8373360919785517E-3</c:v>
                </c:pt>
                <c:pt idx="316">
                  <c:v>1.8632902449899581E-3</c:v>
                </c:pt>
                <c:pt idx="317">
                  <c:v>1.8896063410689325E-3</c:v>
                </c:pt>
                <c:pt idx="318">
                  <c:v>1.9162893294320466E-3</c:v>
                </c:pt>
                <c:pt idx="319">
                  <c:v>1.9433442249968097E-3</c:v>
                </c:pt>
                <c:pt idx="320">
                  <c:v>1.9707761092150793E-3</c:v>
                </c:pt>
                <c:pt idx="321">
                  <c:v>1.9985901309163487E-3</c:v>
                </c:pt>
                <c:pt idx="322">
                  <c:v>2.026791507161041E-3</c:v>
                </c:pt>
                <c:pt idx="323">
                  <c:v>2.0553855241034987E-3</c:v>
                </c:pt>
                <c:pt idx="324">
                  <c:v>2.0843775378654788E-3</c:v>
                </c:pt>
                <c:pt idx="325">
                  <c:v>2.1137729754197383E-3</c:v>
                </c:pt>
                <c:pt idx="326">
                  <c:v>2.1435773354838176E-3</c:v>
                </c:pt>
                <c:pt idx="327">
                  <c:v>2.173796189424503E-3</c:v>
                </c:pt>
                <c:pt idx="328">
                  <c:v>2.2044351821726366E-3</c:v>
                </c:pt>
                <c:pt idx="329">
                  <c:v>2.2355000331485864E-3</c:v>
                </c:pt>
                <c:pt idx="330">
                  <c:v>2.2669965371987268E-3</c:v>
                </c:pt>
                <c:pt idx="331">
                  <c:v>2.2989305655425323E-3</c:v>
                </c:pt>
                <c:pt idx="332">
                  <c:v>2.3313080667304951E-3</c:v>
                </c:pt>
                <c:pt idx="333">
                  <c:v>2.3641350676136823E-3</c:v>
                </c:pt>
                <c:pt idx="334">
                  <c:v>2.3974176743238955E-3</c:v>
                </c:pt>
                <c:pt idx="335">
                  <c:v>2.4311620732654768E-3</c:v>
                </c:pt>
                <c:pt idx="336">
                  <c:v>2.4653745321184472E-3</c:v>
                </c:pt>
                <c:pt idx="337">
                  <c:v>2.5000614008530752E-3</c:v>
                </c:pt>
                <c:pt idx="338">
                  <c:v>2.5352291127563446E-3</c:v>
                </c:pt>
                <c:pt idx="339">
                  <c:v>2.570884185469764E-3</c:v>
                </c:pt>
                <c:pt idx="340">
                  <c:v>2.6070332220394571E-3</c:v>
                </c:pt>
                <c:pt idx="341">
                  <c:v>2.6436829119780739E-3</c:v>
                </c:pt>
                <c:pt idx="342">
                  <c:v>2.6808400323386538E-3</c:v>
                </c:pt>
                <c:pt idx="343">
                  <c:v>2.718511448800867E-3</c:v>
                </c:pt>
                <c:pt idx="344">
                  <c:v>2.7567041167697332E-3</c:v>
                </c:pt>
                <c:pt idx="345">
                  <c:v>2.7954250824864029E-3</c:v>
                </c:pt>
                <c:pt idx="346">
                  <c:v>2.8346814841516978E-3</c:v>
                </c:pt>
                <c:pt idx="347">
                  <c:v>2.874480553062653E-3</c:v>
                </c:pt>
                <c:pt idx="348">
                  <c:v>2.9148296147611611E-3</c:v>
                </c:pt>
                <c:pt idx="349">
                  <c:v>2.9557360901963144E-3</c:v>
                </c:pt>
                <c:pt idx="350">
                  <c:v>2.997207496899162E-3</c:v>
                </c:pt>
                <c:pt idx="351">
                  <c:v>3.0392514501711063E-3</c:v>
                </c:pt>
                <c:pt idx="352">
                  <c:v>3.0818756642852019E-3</c:v>
                </c:pt>
                <c:pt idx="353">
                  <c:v>3.1250879537011392E-3</c:v>
                </c:pt>
                <c:pt idx="354">
                  <c:v>3.1688962342938209E-3</c:v>
                </c:pt>
                <c:pt idx="355">
                  <c:v>3.2133085245952355E-3</c:v>
                </c:pt>
                <c:pt idx="356">
                  <c:v>3.2583329470504459E-3</c:v>
                </c:pt>
                <c:pt idx="357">
                  <c:v>3.3039777292873493E-3</c:v>
                </c:pt>
                <c:pt idx="358">
                  <c:v>3.3502512054004942E-3</c:v>
                </c:pt>
                <c:pt idx="359">
                  <c:v>3.3971618172492805E-3</c:v>
                </c:pt>
                <c:pt idx="360">
                  <c:v>3.4447181157698775E-3</c:v>
                </c:pt>
                <c:pt idx="361">
                  <c:v>3.4929287623022844E-3</c:v>
                </c:pt>
                <c:pt idx="362">
                  <c:v>3.5418025299312258E-3</c:v>
                </c:pt>
                <c:pt idx="363">
                  <c:v>3.5913483048424094E-3</c:v>
                </c:pt>
                <c:pt idx="364">
                  <c:v>3.6415750876930462E-3</c:v>
                </c:pt>
                <c:pt idx="365">
                  <c:v>3.6924919949975475E-3</c:v>
                </c:pt>
                <c:pt idx="366">
                  <c:v>3.7441082605282985E-3</c:v>
                </c:pt>
                <c:pt idx="367">
                  <c:v>3.7964332367313078E-3</c:v>
                </c:pt>
                <c:pt idx="368">
                  <c:v>3.8494763961579056E-3</c:v>
                </c:pt>
                <c:pt idx="369">
                  <c:v>3.9032473329109864E-3</c:v>
                </c:pt>
                <c:pt idx="370">
                  <c:v>3.9577557641075701E-3</c:v>
                </c:pt>
                <c:pt idx="371">
                  <c:v>4.0130115313563933E-3</c:v>
                </c:pt>
                <c:pt idx="372">
                  <c:v>4.0690246022522525E-3</c:v>
                </c:pt>
                <c:pt idx="373">
                  <c:v>4.125805071885565E-3</c:v>
                </c:pt>
                <c:pt idx="374">
                  <c:v>4.1833631643681552E-3</c:v>
                </c:pt>
                <c:pt idx="375">
                  <c:v>4.2417092343756896E-3</c:v>
                </c:pt>
                <c:pt idx="376">
                  <c:v>4.3008537687060288E-3</c:v>
                </c:pt>
                <c:pt idx="377">
                  <c:v>4.3608073878543853E-3</c:v>
                </c:pt>
                <c:pt idx="378">
                  <c:v>4.4215808476051003E-3</c:v>
                </c:pt>
                <c:pt idx="379">
                  <c:v>4.483185040640038E-3</c:v>
                </c:pt>
                <c:pt idx="380">
                  <c:v>4.5456309981641348E-3</c:v>
                </c:pt>
                <c:pt idx="381">
                  <c:v>4.6089298915476728E-3</c:v>
                </c:pt>
                <c:pt idx="382">
                  <c:v>4.6730930339860862E-3</c:v>
                </c:pt>
                <c:pt idx="383">
                  <c:v>4.7381318821769674E-3</c:v>
                </c:pt>
                <c:pt idx="384">
                  <c:v>4.8040580380144873E-3</c:v>
                </c:pt>
                <c:pt idx="385">
                  <c:v>4.8708832503011664E-3</c:v>
                </c:pt>
                <c:pt idx="386">
                  <c:v>4.938619416478128E-3</c:v>
                </c:pt>
                <c:pt idx="387">
                  <c:v>5.0072785843723166E-3</c:v>
                </c:pt>
                <c:pt idx="388">
                  <c:v>5.0768729539622309E-3</c:v>
                </c:pt>
                <c:pt idx="389">
                  <c:v>5.1474148791616882E-3</c:v>
                </c:pt>
                <c:pt idx="390">
                  <c:v>5.2189168696219869E-3</c:v>
                </c:pt>
                <c:pt idx="391">
                  <c:v>5.2913915925519193E-3</c:v>
                </c:pt>
                <c:pt idx="392">
                  <c:v>5.3648518745573279E-3</c:v>
                </c:pt>
                <c:pt idx="393">
                  <c:v>5.4393107034981809E-3</c:v>
                </c:pt>
                <c:pt idx="394">
                  <c:v>5.5147812303653404E-3</c:v>
                </c:pt>
                <c:pt idx="395">
                  <c:v>5.5912767711758845E-3</c:v>
                </c:pt>
                <c:pt idx="396">
                  <c:v>5.6688108088874404E-3</c:v>
                </c:pt>
                <c:pt idx="397">
                  <c:v>5.7473969953320018E-3</c:v>
                </c:pt>
                <c:pt idx="398">
                  <c:v>5.8270491531691128E-3</c:v>
                </c:pt>
                <c:pt idx="399">
                  <c:v>5.9077812778576917E-3</c:v>
                </c:pt>
                <c:pt idx="400">
                  <c:v>5.9896075396490521E-3</c:v>
                </c:pt>
                <c:pt idx="401">
                  <c:v>6.0725422855979708E-3</c:v>
                </c:pt>
                <c:pt idx="402">
                  <c:v>6.1566000415948872E-3</c:v>
                </c:pt>
                <c:pt idx="403">
                  <c:v>6.241795514417503E-3</c:v>
                </c:pt>
                <c:pt idx="404">
                  <c:v>6.3281435938022925E-3</c:v>
                </c:pt>
                <c:pt idx="405">
                  <c:v>6.4156593545374018E-3</c:v>
                </c:pt>
                <c:pt idx="406">
                  <c:v>6.5043580585744231E-3</c:v>
                </c:pt>
                <c:pt idx="407">
                  <c:v>6.594255157161704E-3</c:v>
                </c:pt>
                <c:pt idx="408">
                  <c:v>6.6853662929982488E-3</c:v>
                </c:pt>
                <c:pt idx="409">
                  <c:v>6.7777073024079945E-3</c:v>
                </c:pt>
                <c:pt idx="410">
                  <c:v>6.8712942175351279E-3</c:v>
                </c:pt>
                <c:pt idx="411">
                  <c:v>6.9661432685607719E-3</c:v>
                </c:pt>
                <c:pt idx="412">
                  <c:v>7.0622708859404415E-3</c:v>
                </c:pt>
                <c:pt idx="413">
                  <c:v>7.1596937026627708E-3</c:v>
                </c:pt>
                <c:pt idx="414">
                  <c:v>7.2584285565301526E-3</c:v>
                </c:pt>
                <c:pt idx="415">
                  <c:v>7.3584924924599889E-3</c:v>
                </c:pt>
                <c:pt idx="416">
                  <c:v>7.4599027648088543E-3</c:v>
                </c:pt>
                <c:pt idx="417">
                  <c:v>7.5626768397171005E-3</c:v>
                </c:pt>
                <c:pt idx="418">
                  <c:v>7.6668323974761129E-3</c:v>
                </c:pt>
                <c:pt idx="419">
                  <c:v>7.7723873349175897E-3</c:v>
                </c:pt>
                <c:pt idx="420">
                  <c:v>7.879359767824683E-3</c:v>
                </c:pt>
                <c:pt idx="421">
                  <c:v>7.9877680333655839E-3</c:v>
                </c:pt>
                <c:pt idx="422">
                  <c:v>8.0976306925488861E-3</c:v>
                </c:pt>
                <c:pt idx="423">
                  <c:v>8.2089665327022571E-3</c:v>
                </c:pt>
                <c:pt idx="424">
                  <c:v>8.3217945699732791E-3</c:v>
                </c:pt>
                <c:pt idx="425">
                  <c:v>8.4361340518528029E-3</c:v>
                </c:pt>
                <c:pt idx="426">
                  <c:v>8.5520044597209698E-3</c:v>
                </c:pt>
                <c:pt idx="427">
                  <c:v>8.6694255114171496E-3</c:v>
                </c:pt>
                <c:pt idx="428">
                  <c:v>8.7884171638311793E-3</c:v>
                </c:pt>
                <c:pt idx="429">
                  <c:v>8.9089996155192579E-3</c:v>
                </c:pt>
                <c:pt idx="430">
                  <c:v>9.0311933093420987E-3</c:v>
                </c:pt>
                <c:pt idx="431">
                  <c:v>9.1550189351266818E-3</c:v>
                </c:pt>
                <c:pt idx="432">
                  <c:v>9.2804974323513287E-3</c:v>
                </c:pt>
                <c:pt idx="433">
                  <c:v>9.4076499928545543E-3</c:v>
                </c:pt>
                <c:pt idx="434">
                  <c:v>9.5364980635666303E-3</c:v>
                </c:pt>
                <c:pt idx="435">
                  <c:v>9.6670633492657292E-3</c:v>
                </c:pt>
                <c:pt idx="436">
                  <c:v>9.7993678153572746E-3</c:v>
                </c:pt>
                <c:pt idx="437">
                  <c:v>9.9334336906776455E-3</c:v>
                </c:pt>
                <c:pt idx="438">
                  <c:v>1.0069283470320677E-2</c:v>
                </c:pt>
                <c:pt idx="439">
                  <c:v>1.0206939918489545E-2</c:v>
                </c:pt>
                <c:pt idx="440">
                  <c:v>1.0346426071371312E-2</c:v>
                </c:pt>
                <c:pt idx="441">
                  <c:v>1.0487765240036986E-2</c:v>
                </c:pt>
                <c:pt idx="442">
                  <c:v>1.063098101336451E-2</c:v>
                </c:pt>
                <c:pt idx="443">
                  <c:v>1.077609726098664E-2</c:v>
                </c:pt>
                <c:pt idx="444">
                  <c:v>1.0923138136263239E-2</c:v>
                </c:pt>
                <c:pt idx="445">
                  <c:v>1.1072128079277403E-2</c:v>
                </c:pt>
                <c:pt idx="446">
                  <c:v>1.1223091819856748E-2</c:v>
                </c:pt>
                <c:pt idx="447">
                  <c:v>1.1376054380618436E-2</c:v>
                </c:pt>
                <c:pt idx="448">
                  <c:v>1.1531041080038846E-2</c:v>
                </c:pt>
                <c:pt idx="449">
                  <c:v>1.1688077535548992E-2</c:v>
                </c:pt>
                <c:pt idx="450">
                  <c:v>1.1847189666652437E-2</c:v>
                </c:pt>
                <c:pt idx="451">
                  <c:v>1.2008403698069482E-2</c:v>
                </c:pt>
                <c:pt idx="452">
                  <c:v>1.2171746162905783E-2</c:v>
                </c:pt>
                <c:pt idx="453">
                  <c:v>1.2337243905845039E-2</c:v>
                </c:pt>
                <c:pt idx="454">
                  <c:v>1.2504924086367216E-2</c:v>
                </c:pt>
                <c:pt idx="455">
                  <c:v>1.2674814181990854E-2</c:v>
                </c:pt>
                <c:pt idx="456">
                  <c:v>1.2846941991540446E-2</c:v>
                </c:pt>
                <c:pt idx="457">
                  <c:v>1.3021335638438289E-2</c:v>
                </c:pt>
                <c:pt idx="458">
                  <c:v>1.3198023574022461E-2</c:v>
                </c:pt>
                <c:pt idx="459">
                  <c:v>1.3377034580887018E-2</c:v>
                </c:pt>
                <c:pt idx="460">
                  <c:v>1.3558397776249984E-2</c:v>
                </c:pt>
                <c:pt idx="461">
                  <c:v>1.3742142615343249E-2</c:v>
                </c:pt>
                <c:pt idx="462">
                  <c:v>1.3928298894829475E-2</c:v>
                </c:pt>
                <c:pt idx="463">
                  <c:v>1.4116896756242689E-2</c:v>
                </c:pt>
                <c:pt idx="464">
                  <c:v>1.4307966689453786E-2</c:v>
                </c:pt>
                <c:pt idx="465">
                  <c:v>1.4501539536160308E-2</c:v>
                </c:pt>
                <c:pt idx="466">
                  <c:v>1.4697646493401868E-2</c:v>
                </c:pt>
                <c:pt idx="467">
                  <c:v>1.4896319117099212E-2</c:v>
                </c:pt>
                <c:pt idx="468">
                  <c:v>1.5097589325618299E-2</c:v>
                </c:pt>
                <c:pt idx="469">
                  <c:v>1.5301489403358843E-2</c:v>
                </c:pt>
                <c:pt idx="470">
                  <c:v>1.5508052004367305E-2</c:v>
                </c:pt>
                <c:pt idx="471">
                  <c:v>1.5717310155974273E-2</c:v>
                </c:pt>
                <c:pt idx="472">
                  <c:v>1.5929297262455722E-2</c:v>
                </c:pt>
                <c:pt idx="473">
                  <c:v>1.6144047108719296E-2</c:v>
                </c:pt>
                <c:pt idx="474">
                  <c:v>1.6361593864014364E-2</c:v>
                </c:pt>
                <c:pt idx="475">
                  <c:v>1.6581972085665756E-2</c:v>
                </c:pt>
                <c:pt idx="476">
                  <c:v>1.6805216722832264E-2</c:v>
                </c:pt>
                <c:pt idx="477">
                  <c:v>1.7031363120287833E-2</c:v>
                </c:pt>
                <c:pt idx="478">
                  <c:v>1.7260447022227107E-2</c:v>
                </c:pt>
                <c:pt idx="479">
                  <c:v>1.7492504576095993E-2</c:v>
                </c:pt>
                <c:pt idx="480">
                  <c:v>1.7727572336442086E-2</c:v>
                </c:pt>
                <c:pt idx="481">
                  <c:v>1.7965687268792253E-2</c:v>
                </c:pt>
                <c:pt idx="482">
                  <c:v>1.8206886753551508E-2</c:v>
                </c:pt>
                <c:pt idx="483">
                  <c:v>1.8451208589924183E-2</c:v>
                </c:pt>
                <c:pt idx="484">
                  <c:v>1.8698690999859994E-2</c:v>
                </c:pt>
                <c:pt idx="485">
                  <c:v>1.8949372632021518E-2</c:v>
                </c:pt>
                <c:pt idx="486">
                  <c:v>1.9203292565773265E-2</c:v>
                </c:pt>
                <c:pt idx="487">
                  <c:v>1.9460490315196238E-2</c:v>
                </c:pt>
                <c:pt idx="488">
                  <c:v>1.9721005833119892E-2</c:v>
                </c:pt>
                <c:pt idx="489">
                  <c:v>1.9984879515180892E-2</c:v>
                </c:pt>
                <c:pt idx="490">
                  <c:v>2.0252152203900003E-2</c:v>
                </c:pt>
                <c:pt idx="491">
                  <c:v>2.0522865192781261E-2</c:v>
                </c:pt>
                <c:pt idx="492">
                  <c:v>2.0797060230433765E-2</c:v>
                </c:pt>
                <c:pt idx="493">
                  <c:v>2.1074779524713216E-2</c:v>
                </c:pt>
                <c:pt idx="494">
                  <c:v>2.1356065746883313E-2</c:v>
                </c:pt>
                <c:pt idx="495">
                  <c:v>2.1640962035799315E-2</c:v>
                </c:pt>
                <c:pt idx="496">
                  <c:v>2.1929512002110765E-2</c:v>
                </c:pt>
                <c:pt idx="497">
                  <c:v>2.2221759732483585E-2</c:v>
                </c:pt>
                <c:pt idx="498">
                  <c:v>2.2517749793843914E-2</c:v>
                </c:pt>
                <c:pt idx="499">
                  <c:v>2.2817527237637227E-2</c:v>
                </c:pt>
                <c:pt idx="500">
                  <c:v>2.3121137604110394E-2</c:v>
                </c:pt>
                <c:pt idx="501">
                  <c:v>2.3428626926609547E-2</c:v>
                </c:pt>
                <c:pt idx="502">
                  <c:v>2.3740041735897995E-2</c:v>
                </c:pt>
                <c:pt idx="503">
                  <c:v>2.405542906448991E-2</c:v>
                </c:pt>
                <c:pt idx="504">
                  <c:v>2.4374836451002708E-2</c:v>
                </c:pt>
                <c:pt idx="505">
                  <c:v>2.4698311944527058E-2</c:v>
                </c:pt>
                <c:pt idx="506">
                  <c:v>2.5025904109011943E-2</c:v>
                </c:pt>
                <c:pt idx="507">
                  <c:v>2.5357662027667011E-2</c:v>
                </c:pt>
                <c:pt idx="508">
                  <c:v>2.5693635307380603E-2</c:v>
                </c:pt>
                <c:pt idx="509">
                  <c:v>2.6033874083151602E-2</c:v>
                </c:pt>
                <c:pt idx="510">
                  <c:v>2.6378429022539666E-2</c:v>
                </c:pt>
                <c:pt idx="511">
                  <c:v>2.6727351330125451E-2</c:v>
                </c:pt>
                <c:pt idx="512">
                  <c:v>2.7080692751988072E-2</c:v>
                </c:pt>
                <c:pt idx="513">
                  <c:v>2.7438505580194485E-2</c:v>
                </c:pt>
                <c:pt idx="514">
                  <c:v>2.7800842657301445E-2</c:v>
                </c:pt>
                <c:pt idx="515">
                  <c:v>2.8167757380870552E-2</c:v>
                </c:pt>
                <c:pt idx="516">
                  <c:v>2.8539303707995532E-2</c:v>
                </c:pt>
                <c:pt idx="517">
                  <c:v>2.8915536159838776E-2</c:v>
                </c:pt>
                <c:pt idx="518">
                  <c:v>2.9296509826180768E-2</c:v>
                </c:pt>
                <c:pt idx="519">
                  <c:v>2.9682280369977342E-2</c:v>
                </c:pt>
                <c:pt idx="520">
                  <c:v>3.0072904031929189E-2</c:v>
                </c:pt>
                <c:pt idx="521">
                  <c:v>3.0468437635055252E-2</c:v>
                </c:pt>
                <c:pt idx="522">
                  <c:v>3.0868938589281053E-2</c:v>
                </c:pt>
                <c:pt idx="523">
                  <c:v>3.1274464896028427E-2</c:v>
                </c:pt>
                <c:pt idx="524">
                  <c:v>3.168507515281354E-2</c:v>
                </c:pt>
                <c:pt idx="525">
                  <c:v>3.2100828557853574E-2</c:v>
                </c:pt>
                <c:pt idx="526">
                  <c:v>3.2521784914676583E-2</c:v>
                </c:pt>
                <c:pt idx="527">
                  <c:v>3.2948004636734141E-2</c:v>
                </c:pt>
                <c:pt idx="528">
                  <c:v>3.3379548752021398E-2</c:v>
                </c:pt>
                <c:pt idx="529">
                  <c:v>3.3816478907697796E-2</c:v>
                </c:pt>
                <c:pt idx="530">
                  <c:v>3.425885737471112E-2</c:v>
                </c:pt>
                <c:pt idx="531">
                  <c:v>3.4706747052421272E-2</c:v>
                </c:pt>
                <c:pt idx="532">
                  <c:v>3.5160211473226538E-2</c:v>
                </c:pt>
                <c:pt idx="533">
                  <c:v>3.5619314807187843E-2</c:v>
                </c:pt>
                <c:pt idx="534">
                  <c:v>3.6084121866653794E-2</c:v>
                </c:pt>
                <c:pt idx="535">
                  <c:v>3.6554698110880454E-2</c:v>
                </c:pt>
                <c:pt idx="536">
                  <c:v>3.7031109650651713E-2</c:v>
                </c:pt>
                <c:pt idx="537">
                  <c:v>3.7513423252891948E-2</c:v>
                </c:pt>
                <c:pt idx="538">
                  <c:v>3.8001706345277123E-2</c:v>
                </c:pt>
                <c:pt idx="539">
                  <c:v>3.8496027020836369E-2</c:v>
                </c:pt>
                <c:pt idx="540">
                  <c:v>3.8996454042549894E-2</c:v>
                </c:pt>
                <c:pt idx="541">
                  <c:v>3.9503056847936292E-2</c:v>
                </c:pt>
                <c:pt idx="542">
                  <c:v>4.0015905553632582E-2</c:v>
                </c:pt>
                <c:pt idx="543">
                  <c:v>4.0535070959960826E-2</c:v>
                </c:pt>
                <c:pt idx="544">
                  <c:v>4.1060624555488562E-2</c:v>
                </c:pt>
                <c:pt idx="545">
                  <c:v>4.1592638521570698E-2</c:v>
                </c:pt>
                <c:pt idx="546">
                  <c:v>4.2131185736883563E-2</c:v>
                </c:pt>
                <c:pt idx="547">
                  <c:v>4.2676339781939174E-2</c:v>
                </c:pt>
                <c:pt idx="548">
                  <c:v>4.3228174943585065E-2</c:v>
                </c:pt>
                <c:pt idx="549">
                  <c:v>4.3786766219488654E-2</c:v>
                </c:pt>
                <c:pt idx="550">
                  <c:v>4.4352189322601168E-2</c:v>
                </c:pt>
                <c:pt idx="551">
                  <c:v>4.4924520685600759E-2</c:v>
                </c:pt>
                <c:pt idx="552">
                  <c:v>4.5503837465316554E-2</c:v>
                </c:pt>
                <c:pt idx="553">
                  <c:v>4.6090217547126978E-2</c:v>
                </c:pt>
                <c:pt idx="554">
                  <c:v>4.6683739549339513E-2</c:v>
                </c:pt>
                <c:pt idx="555">
                  <c:v>4.7284482827538117E-2</c:v>
                </c:pt>
                <c:pt idx="556">
                  <c:v>4.7892527478909971E-2</c:v>
                </c:pt>
                <c:pt idx="557">
                  <c:v>4.85079543465382E-2</c:v>
                </c:pt>
                <c:pt idx="558">
                  <c:v>4.91308450236706E-2</c:v>
                </c:pt>
                <c:pt idx="559">
                  <c:v>4.9761281857952651E-2</c:v>
                </c:pt>
                <c:pt idx="560">
                  <c:v>5.0399347955627644E-2</c:v>
                </c:pt>
                <c:pt idx="561">
                  <c:v>5.1045127185707549E-2</c:v>
                </c:pt>
                <c:pt idx="562">
                  <c:v>5.1698704184099956E-2</c:v>
                </c:pt>
                <c:pt idx="563">
                  <c:v>5.2360164357702459E-2</c:v>
                </c:pt>
                <c:pt idx="564">
                  <c:v>5.302959388845703E-2</c:v>
                </c:pt>
                <c:pt idx="565">
                  <c:v>5.3707079737360476E-2</c:v>
                </c:pt>
                <c:pt idx="566">
                  <c:v>5.4392709648437149E-2</c:v>
                </c:pt>
                <c:pt idx="567">
                  <c:v>5.5086572152659233E-2</c:v>
                </c:pt>
                <c:pt idx="568">
                  <c:v>5.5788756571828226E-2</c:v>
                </c:pt>
                <c:pt idx="569">
                  <c:v>5.6499353022401798E-2</c:v>
                </c:pt>
                <c:pt idx="570">
                  <c:v>5.7218452419276845E-2</c:v>
                </c:pt>
                <c:pt idx="571">
                  <c:v>5.7946146479512316E-2</c:v>
                </c:pt>
                <c:pt idx="572">
                  <c:v>5.8682527726005233E-2</c:v>
                </c:pt>
                <c:pt idx="573">
                  <c:v>5.942768949110748E-2</c:v>
                </c:pt>
                <c:pt idx="574">
                  <c:v>6.0181725920181631E-2</c:v>
                </c:pt>
                <c:pt idx="575">
                  <c:v>6.0944731975103444E-2</c:v>
                </c:pt>
                <c:pt idx="576">
                  <c:v>6.1716803437693424E-2</c:v>
                </c:pt>
                <c:pt idx="577">
                  <c:v>6.2498036913092636E-2</c:v>
                </c:pt>
                <c:pt idx="578">
                  <c:v>6.3288529833064225E-2</c:v>
                </c:pt>
                <c:pt idx="579">
                  <c:v>6.4088380459232763E-2</c:v>
                </c:pt>
                <c:pt idx="580">
                  <c:v>6.4897687886245489E-2</c:v>
                </c:pt>
                <c:pt idx="581">
                  <c:v>6.571655204486819E-2</c:v>
                </c:pt>
                <c:pt idx="582">
                  <c:v>6.6545073704996321E-2</c:v>
                </c:pt>
                <c:pt idx="583">
                  <c:v>6.7383354478598029E-2</c:v>
                </c:pt>
                <c:pt idx="584">
                  <c:v>6.8231496822566906E-2</c:v>
                </c:pt>
                <c:pt idx="585">
                  <c:v>6.9089604041499705E-2</c:v>
                </c:pt>
                <c:pt idx="586">
                  <c:v>6.9957780290384325E-2</c:v>
                </c:pt>
                <c:pt idx="587">
                  <c:v>7.0836130577200812E-2</c:v>
                </c:pt>
                <c:pt idx="588">
                  <c:v>7.1724760765432743E-2</c:v>
                </c:pt>
                <c:pt idx="589">
                  <c:v>7.2623777576484222E-2</c:v>
                </c:pt>
                <c:pt idx="590">
                  <c:v>7.3533288592003629E-2</c:v>
                </c:pt>
                <c:pt idx="591">
                  <c:v>7.445340225610475E-2</c:v>
                </c:pt>
                <c:pt idx="592">
                  <c:v>7.538422787749155E-2</c:v>
                </c:pt>
                <c:pt idx="593">
                  <c:v>7.632587563147708E-2</c:v>
                </c:pt>
                <c:pt idx="594">
                  <c:v>7.727845656189096E-2</c:v>
                </c:pt>
                <c:pt idx="595">
                  <c:v>7.824208258289081E-2</c:v>
                </c:pt>
                <c:pt idx="596">
                  <c:v>7.9216866480642426E-2</c:v>
                </c:pt>
                <c:pt idx="597">
                  <c:v>8.0202921914901387E-2</c:v>
                </c:pt>
                <c:pt idx="598">
                  <c:v>8.1200363420467506E-2</c:v>
                </c:pt>
                <c:pt idx="599">
                  <c:v>8.2209306408520172E-2</c:v>
                </c:pt>
                <c:pt idx="600">
                  <c:v>8.3229867167825933E-2</c:v>
                </c:pt>
                <c:pt idx="601">
                  <c:v>8.4262162865827911E-2</c:v>
                </c:pt>
                <c:pt idx="602">
                  <c:v>8.5306311549590758E-2</c:v>
                </c:pt>
                <c:pt idx="603">
                  <c:v>8.6362432146626963E-2</c:v>
                </c:pt>
                <c:pt idx="604">
                  <c:v>8.7430644465571111E-2</c:v>
                </c:pt>
                <c:pt idx="605">
                  <c:v>8.8511069196724801E-2</c:v>
                </c:pt>
                <c:pt idx="606">
                  <c:v>8.9603827912454151E-2</c:v>
                </c:pt>
                <c:pt idx="607">
                  <c:v>9.0709043067436476E-2</c:v>
                </c:pt>
                <c:pt idx="608">
                  <c:v>9.1826837998762539E-2</c:v>
                </c:pt>
                <c:pt idx="609">
                  <c:v>9.295733692588358E-2</c:v>
                </c:pt>
                <c:pt idx="610">
                  <c:v>9.4100664950391266E-2</c:v>
                </c:pt>
                <c:pt idx="611">
                  <c:v>9.5256948055654725E-2</c:v>
                </c:pt>
                <c:pt idx="612">
                  <c:v>9.6426313106274114E-2</c:v>
                </c:pt>
                <c:pt idx="613">
                  <c:v>9.7608887847378326E-2</c:v>
                </c:pt>
                <c:pt idx="614">
                  <c:v>9.8804800903742995E-2</c:v>
                </c:pt>
                <c:pt idx="615">
                  <c:v>0.10001418177874044</c:v>
                </c:pt>
                <c:pt idx="616">
                  <c:v>0.10123716085309908</c:v>
                </c:pt>
                <c:pt idx="617">
                  <c:v>0.10247386938349194</c:v>
                </c:pt>
                <c:pt idx="618">
                  <c:v>0.10372443950092484</c:v>
                </c:pt>
                <c:pt idx="619">
                  <c:v>0.10498900420894508</c:v>
                </c:pt>
                <c:pt idx="620">
                  <c:v>0.10626769738164643</c:v>
                </c:pt>
                <c:pt idx="621">
                  <c:v>0.10756065376147533</c:v>
                </c:pt>
                <c:pt idx="622">
                  <c:v>0.10886800895683954</c:v>
                </c:pt>
                <c:pt idx="623">
                  <c:v>0.11018989943950555</c:v>
                </c:pt>
                <c:pt idx="624">
                  <c:v>0.1115264625417771</c:v>
                </c:pt>
                <c:pt idx="625">
                  <c:v>0.11287783645347442</c:v>
                </c:pt>
                <c:pt idx="626">
                  <c:v>0.1142441602186712</c:v>
                </c:pt>
                <c:pt idx="627">
                  <c:v>0.11562557373223067</c:v>
                </c:pt>
                <c:pt idx="628">
                  <c:v>0.11702221773609095</c:v>
                </c:pt>
                <c:pt idx="629">
                  <c:v>0.11843423381533202</c:v>
                </c:pt>
                <c:pt idx="630">
                  <c:v>0.11986176439399641</c:v>
                </c:pt>
                <c:pt idx="631">
                  <c:v>0.12130495273067207</c:v>
                </c:pt>
                <c:pt idx="632">
                  <c:v>0.12276394291382456</c:v>
                </c:pt>
                <c:pt idx="633">
                  <c:v>0.12423887985688155</c:v>
                </c:pt>
                <c:pt idx="634">
                  <c:v>0.12572990929305364</c:v>
                </c:pt>
                <c:pt idx="635">
                  <c:v>0.12723717776990742</c:v>
                </c:pt>
                <c:pt idx="636">
                  <c:v>0.12876083264365656</c:v>
                </c:pt>
                <c:pt idx="637">
                  <c:v>0.13030102207319597</c:v>
                </c:pt>
                <c:pt idx="638">
                  <c:v>0.13185789501385245</c:v>
                </c:pt>
                <c:pt idx="639">
                  <c:v>0.13343160121085768</c:v>
                </c:pt>
                <c:pt idx="640">
                  <c:v>0.1350222911925352</c:v>
                </c:pt>
                <c:pt idx="641">
                  <c:v>0.13663011626320101</c:v>
                </c:pt>
                <c:pt idx="642">
                  <c:v>0.13825522849575991</c:v>
                </c:pt>
                <c:pt idx="643">
                  <c:v>0.13989778072401376</c:v>
                </c:pt>
                <c:pt idx="644">
                  <c:v>0.14155792653465471</c:v>
                </c:pt>
                <c:pt idx="645">
                  <c:v>0.14323582025894932</c:v>
                </c:pt>
                <c:pt idx="646">
                  <c:v>0.1449316169641103</c:v>
                </c:pt>
                <c:pt idx="647">
                  <c:v>0.14664547244435058</c:v>
                </c:pt>
                <c:pt idx="648">
                  <c:v>0.14837754321159694</c:v>
                </c:pt>
                <c:pt idx="649">
                  <c:v>0.15012798648588593</c:v>
                </c:pt>
                <c:pt idx="650">
                  <c:v>0.15189696018542176</c:v>
                </c:pt>
                <c:pt idx="651">
                  <c:v>0.15368462291628224</c:v>
                </c:pt>
                <c:pt idx="652">
                  <c:v>0.15549113396178652</c:v>
                </c:pt>
                <c:pt idx="653">
                  <c:v>0.15731665327150157</c:v>
                </c:pt>
                <c:pt idx="654">
                  <c:v>0.15916134144990424</c:v>
                </c:pt>
                <c:pt idx="655">
                  <c:v>0.1610253597446554</c:v>
                </c:pt>
                <c:pt idx="656">
                  <c:v>0.16290887003453008</c:v>
                </c:pt>
                <c:pt idx="657">
                  <c:v>0.16481203481695428</c:v>
                </c:pt>
                <c:pt idx="658">
                  <c:v>0.1667350171951652</c:v>
                </c:pt>
                <c:pt idx="659">
                  <c:v>0.16867798086498717</c:v>
                </c:pt>
                <c:pt idx="660">
                  <c:v>0.17064109010121703</c:v>
                </c:pt>
                <c:pt idx="661">
                  <c:v>0.17262450974360105</c:v>
                </c:pt>
                <c:pt idx="662">
                  <c:v>0.17462840518241823</c:v>
                </c:pt>
                <c:pt idx="663">
                  <c:v>0.17665294234364876</c:v>
                </c:pt>
                <c:pt idx="664">
                  <c:v>0.17869828767373019</c:v>
                </c:pt>
                <c:pt idx="665">
                  <c:v>0.18076460812388731</c:v>
                </c:pt>
                <c:pt idx="666">
                  <c:v>0.18285207113403176</c:v>
                </c:pt>
                <c:pt idx="667">
                  <c:v>0.18496084461624504</c:v>
                </c:pt>
                <c:pt idx="668">
                  <c:v>0.18709109693780132</c:v>
                </c:pt>
                <c:pt idx="669">
                  <c:v>0.18924299690375429</c:v>
                </c:pt>
                <c:pt idx="670">
                  <c:v>0.19141671373907851</c:v>
                </c:pt>
                <c:pt idx="671">
                  <c:v>0.19361241707033905</c:v>
                </c:pt>
                <c:pt idx="672">
                  <c:v>0.19583027690691449</c:v>
                </c:pt>
                <c:pt idx="673">
                  <c:v>0.19807046362173697</c:v>
                </c:pt>
                <c:pt idx="674">
                  <c:v>0.20033314793156279</c:v>
                </c:pt>
                <c:pt idx="675">
                  <c:v>0.20261850087676361</c:v>
                </c:pt>
                <c:pt idx="676">
                  <c:v>0.20492669380062492</c:v>
                </c:pt>
                <c:pt idx="677">
                  <c:v>0.20725789832815866</c:v>
                </c:pt>
                <c:pt idx="678">
                  <c:v>0.20961228634440304</c:v>
                </c:pt>
                <c:pt idx="679">
                  <c:v>0.21199002997222957</c:v>
                </c:pt>
                <c:pt idx="680">
                  <c:v>0.21439130154963679</c:v>
                </c:pt>
                <c:pt idx="681">
                  <c:v>0.21681627360651645</c:v>
                </c:pt>
                <c:pt idx="682">
                  <c:v>0.21926511884091199</c:v>
                </c:pt>
                <c:pt idx="683">
                  <c:v>0.2217380100947216</c:v>
                </c:pt>
                <c:pt idx="684">
                  <c:v>0.2242351203288987</c:v>
                </c:pt>
                <c:pt idx="685">
                  <c:v>0.22675662259807924</c:v>
                </c:pt>
                <c:pt idx="686">
                  <c:v>0.2293026900246814</c:v>
                </c:pt>
                <c:pt idx="687">
                  <c:v>0.23187349577243774</c:v>
                </c:pt>
                <c:pt idx="688">
                  <c:v>0.23446921301937873</c:v>
                </c:pt>
                <c:pt idx="689">
                  <c:v>0.23709001493024151</c:v>
                </c:pt>
                <c:pt idx="690">
                  <c:v>0.23973607462830893</c:v>
                </c:pt>
                <c:pt idx="691">
                  <c:v>0.24240756516666834</c:v>
                </c:pt>
                <c:pt idx="692">
                  <c:v>0.24510465949889101</c:v>
                </c:pt>
                <c:pt idx="693">
                  <c:v>0.24782753044911479</c:v>
                </c:pt>
                <c:pt idx="694">
                  <c:v>0.25057635068154605</c:v>
                </c:pt>
                <c:pt idx="695">
                  <c:v>0.25335129266932555</c:v>
                </c:pt>
                <c:pt idx="696">
                  <c:v>0.25615252866283367</c:v>
                </c:pt>
                <c:pt idx="697">
                  <c:v>0.2589802306573426</c:v>
                </c:pt>
                <c:pt idx="698">
                  <c:v>0.2618345703600648</c:v>
                </c:pt>
                <c:pt idx="699">
                  <c:v>0.26471571915658298</c:v>
                </c:pt>
                <c:pt idx="700">
                  <c:v>0.26762384807664075</c:v>
                </c:pt>
                <c:pt idx="701">
                  <c:v>0.27055912775928942</c:v>
                </c:pt>
                <c:pt idx="702">
                  <c:v>0.27352172841741557</c:v>
                </c:pt>
                <c:pt idx="703">
                  <c:v>0.27651181980160372</c:v>
                </c:pt>
                <c:pt idx="704">
                  <c:v>0.2795295711633452</c:v>
                </c:pt>
                <c:pt idx="705">
                  <c:v>0.28257515121760224</c:v>
                </c:pt>
                <c:pt idx="706">
                  <c:v>0.28564872810469866</c:v>
                </c:pt>
                <c:pt idx="707">
                  <c:v>0.28875046935155008</c:v>
                </c:pt>
                <c:pt idx="708">
                  <c:v>0.29188054183219958</c:v>
                </c:pt>
                <c:pt idx="709">
                  <c:v>0.2950391117277123</c:v>
                </c:pt>
                <c:pt idx="710">
                  <c:v>0.29822634448535201</c:v>
                </c:pt>
                <c:pt idx="711">
                  <c:v>0.30144240477708317</c:v>
                </c:pt>
                <c:pt idx="712">
                  <c:v>0.30468745645737638</c:v>
                </c:pt>
                <c:pt idx="713">
                  <c:v>0.30796166252033064</c:v>
                </c:pt>
                <c:pt idx="714">
                  <c:v>0.31126518505606554</c:v>
                </c:pt>
                <c:pt idx="715">
                  <c:v>0.31459818520643107</c:v>
                </c:pt>
                <c:pt idx="716">
                  <c:v>0.31796082311999208</c:v>
                </c:pt>
                <c:pt idx="717">
                  <c:v>0.32135325790630653</c:v>
                </c:pt>
                <c:pt idx="718">
                  <c:v>0.32477564758947319</c:v>
                </c:pt>
                <c:pt idx="719">
                  <c:v>0.32822814906097036</c:v>
                </c:pt>
                <c:pt idx="720">
                  <c:v>0.33171091803175101</c:v>
                </c:pt>
                <c:pt idx="721">
                  <c:v>0.3352241089836171</c:v>
                </c:pt>
                <c:pt idx="722">
                  <c:v>0.33876787511985756</c:v>
                </c:pt>
                <c:pt idx="723">
                  <c:v>0.34234236831514103</c:v>
                </c:pt>
                <c:pt idx="724">
                  <c:v>0.3459477390646829</c:v>
                </c:pt>
                <c:pt idx="725">
                  <c:v>0.34958413643264863</c:v>
                </c:pt>
                <c:pt idx="726">
                  <c:v>0.35325170799981959</c:v>
                </c:pt>
                <c:pt idx="727">
                  <c:v>0.35695059981050703</c:v>
                </c:pt>
                <c:pt idx="728">
                  <c:v>0.36068095631871483</c:v>
                </c:pt>
                <c:pt idx="729">
                  <c:v>0.36444292033354198</c:v>
                </c:pt>
                <c:pt idx="730">
                  <c:v>0.36823663296382381</c:v>
                </c:pt>
                <c:pt idx="731">
                  <c:v>0.372062233562028</c:v>
                </c:pt>
                <c:pt idx="732">
                  <c:v>0.37591985966738151</c:v>
                </c:pt>
                <c:pt idx="733">
                  <c:v>0.37980964694821556</c:v>
                </c:pt>
                <c:pt idx="734">
                  <c:v>0.38373172914357218</c:v>
                </c:pt>
                <c:pt idx="735">
                  <c:v>0.38768623800403457</c:v>
                </c:pt>
                <c:pt idx="736">
                  <c:v>0.39167330323178473</c:v>
                </c:pt>
                <c:pt idx="737">
                  <c:v>0.39569305241990071</c:v>
                </c:pt>
                <c:pt idx="738">
                  <c:v>0.3997456109908688</c:v>
                </c:pt>
                <c:pt idx="739">
                  <c:v>0.40383110213435824</c:v>
                </c:pt>
                <c:pt idx="740">
                  <c:v>0.40794964674418749</c:v>
                </c:pt>
                <c:pt idx="741">
                  <c:v>0.41210136335454695</c:v>
                </c:pt>
                <c:pt idx="742">
                  <c:v>0.41628636807545283</c:v>
                </c:pt>
                <c:pt idx="743">
                  <c:v>0.42050477452740981</c:v>
                </c:pt>
                <c:pt idx="744">
                  <c:v>0.42475669377532993</c:v>
                </c:pt>
                <c:pt idx="745">
                  <c:v>0.42904223426168764</c:v>
                </c:pt>
                <c:pt idx="746">
                  <c:v>0.43336150173887455</c:v>
                </c:pt>
                <c:pt idx="747">
                  <c:v>0.43771459920083877</c:v>
                </c:pt>
                <c:pt idx="748">
                  <c:v>0.44210162681392134</c:v>
                </c:pt>
                <c:pt idx="749">
                  <c:v>0.44652268184697297</c:v>
                </c:pt>
                <c:pt idx="750">
                  <c:v>0.45097785860066747</c:v>
                </c:pt>
                <c:pt idx="751">
                  <c:v>0.45546724833611807</c:v>
                </c:pt>
                <c:pt idx="752">
                  <c:v>0.45999093920268952</c:v>
                </c:pt>
                <c:pt idx="753">
                  <c:v>0.46454901616511113</c:v>
                </c:pt>
                <c:pt idx="754">
                  <c:v>0.46914156092980808</c:v>
                </c:pt>
                <c:pt idx="755">
                  <c:v>0.47376865187051376</c:v>
                </c:pt>
                <c:pt idx="756">
                  <c:v>0.47843036395317162</c:v>
                </c:pt>
                <c:pt idx="757">
                  <c:v>0.48312676866005005</c:v>
                </c:pt>
                <c:pt idx="758">
                  <c:v>0.48785793391320142</c:v>
                </c:pt>
                <c:pt idx="759">
                  <c:v>0.49262392399715305</c:v>
                </c:pt>
                <c:pt idx="760">
                  <c:v>0.49742479948091328</c:v>
                </c:pt>
                <c:pt idx="761">
                  <c:v>0.50226061713927461</c:v>
                </c:pt>
                <c:pt idx="762">
                  <c:v>0.50713142987340409</c:v>
                </c:pt>
                <c:pt idx="763">
                  <c:v>0.51203728663076253</c:v>
                </c:pt>
                <c:pt idx="764">
                  <c:v>0.51697823232431772</c:v>
                </c:pt>
                <c:pt idx="765">
                  <c:v>0.52195430775112728</c:v>
                </c:pt>
                <c:pt idx="766">
                  <c:v>0.52696554951019448</c:v>
                </c:pt>
                <c:pt idx="767">
                  <c:v>0.53201198991972798</c:v>
                </c:pt>
                <c:pt idx="768">
                  <c:v>0.5370936569337269</c:v>
                </c:pt>
                <c:pt idx="769">
                  <c:v>0.54221057405792805</c:v>
                </c:pt>
                <c:pt idx="770">
                  <c:v>0.54736276026513297</c:v>
                </c:pt>
                <c:pt idx="771">
                  <c:v>0.55255022990993596</c:v>
                </c:pt>
                <c:pt idx="772">
                  <c:v>0.55777299264281699</c:v>
                </c:pt>
                <c:pt idx="773">
                  <c:v>0.56303105332367043</c:v>
                </c:pt>
                <c:pt idx="774">
                  <c:v>0.56832441193474859</c:v>
                </c:pt>
                <c:pt idx="775">
                  <c:v>0.57365306349303058</c:v>
                </c:pt>
                <c:pt idx="776">
                  <c:v>0.57901699796206263</c:v>
                </c:pt>
                <c:pt idx="777">
                  <c:v>0.58441620016321971</c:v>
                </c:pt>
                <c:pt idx="778">
                  <c:v>0.58985064968650325</c:v>
                </c:pt>
                <c:pt idx="779">
                  <c:v>0.59532032080075836</c:v>
                </c:pt>
                <c:pt idx="780">
                  <c:v>0.60082518236347537</c:v>
                </c:pt>
                <c:pt idx="781">
                  <c:v>0.60636519773004849</c:v>
                </c:pt>
                <c:pt idx="782">
                  <c:v>0.61194032466262083</c:v>
                </c:pt>
                <c:pt idx="783">
                  <c:v>0.61755051523845716</c:v>
                </c:pt>
                <c:pt idx="784">
                  <c:v>0.6231957157579191</c:v>
                </c:pt>
                <c:pt idx="785">
                  <c:v>0.62887586665202155</c:v>
                </c:pt>
                <c:pt idx="786">
                  <c:v>0.63459090238958915</c:v>
                </c:pt>
                <c:pt idx="787">
                  <c:v>0.64034075138407565</c:v>
                </c:pt>
                <c:pt idx="788">
                  <c:v>0.64612533590001864</c:v>
                </c:pt>
                <c:pt idx="789">
                  <c:v>0.65194457195916711</c:v>
                </c:pt>
                <c:pt idx="790">
                  <c:v>0.65779836924631363</c:v>
                </c:pt>
                <c:pt idx="791">
                  <c:v>0.66368663101485315</c:v>
                </c:pt>
                <c:pt idx="792">
                  <c:v>0.66960925399205329</c:v>
                </c:pt>
                <c:pt idx="793">
                  <c:v>0.67556612828412554</c:v>
                </c:pt>
                <c:pt idx="794">
                  <c:v>0.68155713728107481</c:v>
                </c:pt>
                <c:pt idx="795">
                  <c:v>0.68758215756133212</c:v>
                </c:pt>
                <c:pt idx="796">
                  <c:v>0.6936410587962949</c:v>
                </c:pt>
                <c:pt idx="797">
                  <c:v>0.69973370365465037</c:v>
                </c:pt>
                <c:pt idx="798">
                  <c:v>0.70585994770667138</c:v>
                </c:pt>
                <c:pt idx="799">
                  <c:v>0.7120196393283712</c:v>
                </c:pt>
                <c:pt idx="800">
                  <c:v>0.71821261960564897</c:v>
                </c:pt>
                <c:pt idx="801">
                  <c:v>0.72443872223838579</c:v>
                </c:pt>
                <c:pt idx="802">
                  <c:v>0.73069777344457065</c:v>
                </c:pt>
                <c:pt idx="803">
                  <c:v>0.73698959186444735</c:v>
                </c:pt>
                <c:pt idx="804">
                  <c:v>0.74331398846474517</c:v>
                </c:pt>
                <c:pt idx="805">
                  <c:v>0.74967076644299846</c:v>
                </c:pt>
                <c:pt idx="806">
                  <c:v>0.75605972113200326</c:v>
                </c:pt>
                <c:pt idx="807">
                  <c:v>0.7624806399044658</c:v>
                </c:pt>
                <c:pt idx="808">
                  <c:v>0.76893330207780786</c:v>
                </c:pt>
                <c:pt idx="809">
                  <c:v>0.77541747881923906</c:v>
                </c:pt>
                <c:pt idx="810">
                  <c:v>0.78193293305112277</c:v>
                </c:pt>
                <c:pt idx="811">
                  <c:v>0.7884794193565754</c:v>
                </c:pt>
                <c:pt idx="812">
                  <c:v>0.79505668388551076</c:v>
                </c:pt>
                <c:pt idx="813">
                  <c:v>0.80166446426098559</c:v>
                </c:pt>
                <c:pt idx="814">
                  <c:v>0.8083024894860128</c:v>
                </c:pt>
                <c:pt idx="815">
                  <c:v>0.81497047985082516</c:v>
                </c:pt>
                <c:pt idx="816">
                  <c:v>0.82166814684065603</c:v>
                </c:pt>
                <c:pt idx="817">
                  <c:v>0.82839519304401066</c:v>
                </c:pt>
                <c:pt idx="818">
                  <c:v>0.83515131206160642</c:v>
                </c:pt>
                <c:pt idx="819">
                  <c:v>0.84193618841587914</c:v>
                </c:pt>
                <c:pt idx="820">
                  <c:v>0.84874949746116335</c:v>
                </c:pt>
                <c:pt idx="821">
                  <c:v>0.85559090529462833</c:v>
                </c:pt>
                <c:pt idx="822">
                  <c:v>0.86246006866795033</c:v>
                </c:pt>
                <c:pt idx="823">
                  <c:v>0.86935663489976611</c:v>
                </c:pt>
                <c:pt idx="824">
                  <c:v>0.87628024178903507</c:v>
                </c:pt>
                <c:pt idx="825">
                  <c:v>0.88323051752925552</c:v>
                </c:pt>
                <c:pt idx="826">
                  <c:v>0.89020708062365328</c:v>
                </c:pt>
                <c:pt idx="827">
                  <c:v>0.89720953980135187</c:v>
                </c:pt>
                <c:pt idx="828">
                  <c:v>0.90423749393461139</c:v>
                </c:pt>
                <c:pt idx="829">
                  <c:v>0.91129053195714071</c:v>
                </c:pt>
                <c:pt idx="830">
                  <c:v>0.91836823278358404</c:v>
                </c:pt>
                <c:pt idx="831">
                  <c:v>0.92547016523017489</c:v>
                </c:pt>
                <c:pt idx="832">
                  <c:v>0.9325958879366949</c:v>
                </c:pt>
                <c:pt idx="833">
                  <c:v>0.9397449492896629</c:v>
                </c:pt>
                <c:pt idx="834">
                  <c:v>0.94691688734697554</c:v>
                </c:pt>
                <c:pt idx="835">
                  <c:v>0.95411122976390683</c:v>
                </c:pt>
                <c:pt idx="836">
                  <c:v>0.96132749372057713</c:v>
                </c:pt>
                <c:pt idx="837">
                  <c:v>0.96856518585098172</c:v>
                </c:pt>
                <c:pt idx="838">
                  <c:v>0.97582380217359665</c:v>
                </c:pt>
                <c:pt idx="839">
                  <c:v>0.98310282802361382</c:v>
                </c:pt>
                <c:pt idx="840">
                  <c:v>0.99040173798688447</c:v>
                </c:pt>
                <c:pt idx="841">
                  <c:v>0.99771999583564897</c:v>
                </c:pt>
                <c:pt idx="842">
                  <c:v>1.0050570544660473</c:v>
                </c:pt>
                <c:pt idx="843">
                  <c:v>1.0124123558375555</c:v>
                </c:pt>
                <c:pt idx="844">
                  <c:v>1.0197853309143219</c:v>
                </c:pt>
                <c:pt idx="845">
                  <c:v>1.0271753996085593</c:v>
                </c:pt>
                <c:pt idx="846">
                  <c:v>1.0345819707259694</c:v>
                </c:pt>
                <c:pt idx="847">
                  <c:v>1.042004441913321</c:v>
                </c:pt>
                <c:pt idx="848">
                  <c:v>1.0494421996082048</c:v>
                </c:pt>
                <c:pt idx="849">
                  <c:v>1.0568946189910835</c:v>
                </c:pt>
                <c:pt idx="850">
                  <c:v>1.0643610639396164</c:v>
                </c:pt>
                <c:pt idx="851">
                  <c:v>1.0718408869854499</c:v>
                </c:pt>
                <c:pt idx="852">
                  <c:v>1.0793334292734065</c:v>
                </c:pt>
                <c:pt idx="853">
                  <c:v>1.0868380205232002</c:v>
                </c:pt>
                <c:pt idx="854">
                  <c:v>1.0943539789938173</c:v>
                </c:pt>
                <c:pt idx="855">
                  <c:v>1.1018806114504527</c:v>
                </c:pt>
                <c:pt idx="856">
                  <c:v>1.1094172131342639</c:v>
                </c:pt>
                <c:pt idx="857">
                  <c:v>1.1169630677348958</c:v>
                </c:pt>
                <c:pt idx="858">
                  <c:v>1.1245174473658415</c:v>
                </c:pt>
                <c:pt idx="859">
                  <c:v>1.1320796125428012</c:v>
                </c:pt>
                <c:pt idx="860">
                  <c:v>1.1396488121649941</c:v>
                </c:pt>
                <c:pt idx="861">
                  <c:v>1.1472242834995965</c:v>
                </c:pt>
                <c:pt idx="862">
                  <c:v>1.1548052521692871</c:v>
                </c:pt>
                <c:pt idx="863">
                  <c:v>1.1623909321430466</c:v>
                </c:pt>
                <c:pt idx="864">
                  <c:v>1.1699805257302303</c:v>
                </c:pt>
                <c:pt idx="865">
                  <c:v>1.1775732235780165</c:v>
                </c:pt>
                <c:pt idx="866">
                  <c:v>1.1851682046722853</c:v>
                </c:pt>
                <c:pt idx="867">
                  <c:v>1.1927646363420019</c:v>
                </c:pt>
                <c:pt idx="868">
                  <c:v>1.200361674267191</c:v>
                </c:pt>
                <c:pt idx="869">
                  <c:v>1.2079584624905737</c:v>
                </c:pt>
                <c:pt idx="870">
                  <c:v>1.2155541334328848</c:v>
                </c:pt>
                <c:pt idx="871">
                  <c:v>1.2231478079120521</c:v>
                </c:pt>
                <c:pt idx="872">
                  <c:v>1.2307385951662067</c:v>
                </c:pt>
                <c:pt idx="873">
                  <c:v>1.2383255928806283</c:v>
                </c:pt>
                <c:pt idx="874">
                  <c:v>1.2459078872187639</c:v>
                </c:pt>
                <c:pt idx="875">
                  <c:v>1.2534845528572571</c:v>
                </c:pt>
                <c:pt idx="876">
                  <c:v>1.2610546530252034</c:v>
                </c:pt>
                <c:pt idx="877">
                  <c:v>1.2686172395476245</c:v>
                </c:pt>
                <c:pt idx="878">
                  <c:v>1.2761713528932148</c:v>
                </c:pt>
                <c:pt idx="879">
                  <c:v>1.2837160222265098</c:v>
                </c:pt>
                <c:pt idx="880">
                  <c:v>1.2912502654644868</c:v>
                </c:pt>
                <c:pt idx="881">
                  <c:v>1.2987730893376861</c:v>
                </c:pt>
                <c:pt idx="882">
                  <c:v>1.3062834894559123</c:v>
                </c:pt>
                <c:pt idx="883">
                  <c:v>1.313780450378617</c:v>
                </c:pt>
                <c:pt idx="884">
                  <c:v>1.3212629456900318</c:v>
                </c:pt>
                <c:pt idx="885">
                  <c:v>1.3287299380790278</c:v>
                </c:pt>
                <c:pt idx="886">
                  <c:v>1.3361803794239433</c:v>
                </c:pt>
                <c:pt idx="887">
                  <c:v>1.3436132108822709</c:v>
                </c:pt>
                <c:pt idx="888">
                  <c:v>1.3510273629854137</c:v>
                </c:pt>
                <c:pt idx="889">
                  <c:v>1.3584217557384493</c:v>
                </c:pt>
                <c:pt idx="890">
                  <c:v>1.3657952987250996</c:v>
                </c:pt>
                <c:pt idx="891">
                  <c:v>1.3731468912178537</c:v>
                </c:pt>
                <c:pt idx="892">
                  <c:v>1.3804754222933817</c:v>
                </c:pt>
                <c:pt idx="893">
                  <c:v>1.3877797709532962</c:v>
                </c:pt>
                <c:pt idx="894">
                  <c:v>1.395058806250266</c:v>
                </c:pt>
                <c:pt idx="895">
                  <c:v>1.402311387419618</c:v>
                </c:pt>
                <c:pt idx="896">
                  <c:v>1.4095363640164724</c:v>
                </c:pt>
                <c:pt idx="897">
                  <c:v>1.4167325760583784</c:v>
                </c:pt>
                <c:pt idx="898">
                  <c:v>1.423898854173683</c:v>
                </c:pt>
                <c:pt idx="899">
                  <c:v>1.4310340197554903</c:v>
                </c:pt>
                <c:pt idx="900">
                  <c:v>1.4381368851214518</c:v>
                </c:pt>
                <c:pt idx="901">
                  <c:v>1.4452062536792902</c:v>
                </c:pt>
                <c:pt idx="902">
                  <c:v>1.4522409200981961</c:v>
                </c:pt>
                <c:pt idx="903">
                  <c:v>1.4592396704861295</c:v>
                </c:pt>
                <c:pt idx="904">
                  <c:v>1.4662012825730726</c:v>
                </c:pt>
                <c:pt idx="905">
                  <c:v>1.4731245259002499</c:v>
                </c:pt>
                <c:pt idx="906">
                  <c:v>1.4800081620154202</c:v>
                </c:pt>
                <c:pt idx="907">
                  <c:v>1.4868509446742324</c:v>
                </c:pt>
                <c:pt idx="908">
                  <c:v>1.4936516200477346</c:v>
                </c:pt>
                <c:pt idx="909">
                  <c:v>1.500408926935985</c:v>
                </c:pt>
                <c:pt idx="910">
                  <c:v>1.5071215969879639</c:v>
                </c:pt>
                <c:pt idx="911">
                  <c:v>1.5137883549276094</c:v>
                </c:pt>
                <c:pt idx="912">
                  <c:v>1.5204079187862174</c:v>
                </c:pt>
                <c:pt idx="913">
                  <c:v>1.5269790001410846</c:v>
                </c:pt>
                <c:pt idx="914">
                  <c:v>1.5335003043605158</c:v>
                </c:pt>
                <c:pt idx="915">
                  <c:v>1.5399705308551288</c:v>
                </c:pt>
                <c:pt idx="916">
                  <c:v>1.5463883733356378</c:v>
                </c:pt>
                <c:pt idx="917">
                  <c:v>1.5527525200769063</c:v>
                </c:pt>
                <c:pt idx="918">
                  <c:v>1.5590616541885236</c:v>
                </c:pt>
                <c:pt idx="919">
                  <c:v>1.5653144538917716</c:v>
                </c:pt>
                <c:pt idx="920">
                  <c:v>1.5715095928029912</c:v>
                </c:pt>
                <c:pt idx="921">
                  <c:v>1.5776457402234916</c:v>
                </c:pt>
                <c:pt idx="922">
                  <c:v>1.583721561435844</c:v>
                </c:pt>
                <c:pt idx="923">
                  <c:v>1.5897357180066556</c:v>
                </c:pt>
                <c:pt idx="924">
                  <c:v>1.5956868680958198</c:v>
                </c:pt>
                <c:pt idx="925">
                  <c:v>1.601573666772216</c:v>
                </c:pt>
                <c:pt idx="926">
                  <c:v>1.6073947663358519</c:v>
                </c:pt>
                <c:pt idx="927">
                  <c:v>1.6131488166464594</c:v>
                </c:pt>
                <c:pt idx="928">
                  <c:v>1.6188344654585103</c:v>
                </c:pt>
                <c:pt idx="929">
                  <c:v>1.6244503587626411</c:v>
                </c:pt>
                <c:pt idx="930">
                  <c:v>1.6299951411334885</c:v>
                </c:pt>
                <c:pt idx="931">
                  <c:v>1.6354674560838531</c:v>
                </c:pt>
                <c:pt idx="932">
                  <c:v>1.640865946425222</c:v>
                </c:pt>
                <c:pt idx="933">
                  <c:v>1.6461892546346115</c:v>
                </c:pt>
                <c:pt idx="934">
                  <c:v>1.6514360232276317</c:v>
                </c:pt>
                <c:pt idx="935">
                  <c:v>1.6566048951378436</c:v>
                </c:pt>
                <c:pt idx="936">
                  <c:v>1.6616945141022279</c:v>
                </c:pt>
                <c:pt idx="937">
                  <c:v>1.6667035250528419</c:v>
                </c:pt>
                <c:pt idx="938">
                  <c:v>1.6716305745145505</c:v>
                </c:pt>
                <c:pt idx="939">
                  <c:v>1.6764743110087426</c:v>
                </c:pt>
                <c:pt idx="940">
                  <c:v>1.681233385463075</c:v>
                </c:pt>
                <c:pt idx="941">
                  <c:v>1.6859064516270614</c:v>
                </c:pt>
                <c:pt idx="942">
                  <c:v>1.6904921664935004</c:v>
                </c:pt>
                <c:pt idx="943">
                  <c:v>1.6949891907256696</c:v>
                </c:pt>
                <c:pt idx="944">
                  <c:v>1.6993961890901801</c:v>
                </c:pt>
                <c:pt idx="945">
                  <c:v>1.7037118308954078</c:v>
                </c:pt>
                <c:pt idx="946">
                  <c:v>1.7079347904354356</c:v>
                </c:pt>
                <c:pt idx="947">
                  <c:v>1.7120637474393938</c:v>
                </c:pt>
                <c:pt idx="948">
                  <c:v>1.7160973875260976</c:v>
                </c:pt>
                <c:pt idx="949">
                  <c:v>1.7200344026638772</c:v>
                </c:pt>
                <c:pt idx="950">
                  <c:v>1.7238734916355303</c:v>
                </c:pt>
                <c:pt idx="951">
                  <c:v>1.7276133605081694</c:v>
                </c:pt>
                <c:pt idx="952">
                  <c:v>1.731252723108031</c:v>
                </c:pt>
                <c:pt idx="953">
                  <c:v>1.7347903014999169</c:v>
                </c:pt>
                <c:pt idx="954">
                  <c:v>1.7382248264712776</c:v>
                </c:pt>
                <c:pt idx="955">
                  <c:v>1.7415550380207585</c:v>
                </c:pt>
                <c:pt idx="956">
                  <c:v>1.7447796858510387</c:v>
                </c:pt>
                <c:pt idx="957">
                  <c:v>1.7478975298658819</c:v>
                </c:pt>
                <c:pt idx="958">
                  <c:v>1.7509073406711682</c:v>
                </c:pt>
                <c:pt idx="959">
                  <c:v>1.7538079000798259</c:v>
                </c:pt>
                <c:pt idx="960">
                  <c:v>1.7565980016204183</c:v>
                </c:pt>
                <c:pt idx="961">
                  <c:v>1.7592764510493266</c:v>
                </c:pt>
                <c:pt idx="962">
                  <c:v>1.7618420668662127</c:v>
                </c:pt>
                <c:pt idx="963">
                  <c:v>1.7642936808327172</c:v>
                </c:pt>
                <c:pt idx="964">
                  <c:v>1.766630138494131</c:v>
                </c:pt>
                <c:pt idx="965">
                  <c:v>1.7688502997038529</c:v>
                </c:pt>
                <c:pt idx="966">
                  <c:v>1.7709530391504651</c:v>
                </c:pt>
                <c:pt idx="967">
                  <c:v>1.7729372468872098</c:v>
                </c:pt>
                <c:pt idx="968">
                  <c:v>1.7748018288636473</c:v>
                </c:pt>
                <c:pt idx="969">
                  <c:v>1.7765457074593045</c:v>
                </c:pt>
                <c:pt idx="970">
                  <c:v>1.7781678220190558</c:v>
                </c:pt>
                <c:pt idx="971">
                  <c:v>1.7796671293900821</c:v>
                </c:pt>
                <c:pt idx="972">
                  <c:v>1.7810426044600876</c:v>
                </c:pt>
                <c:pt idx="973">
                  <c:v>1.7822932406966023</c:v>
                </c:pt>
                <c:pt idx="974">
                  <c:v>1.7834180506871105</c:v>
                </c:pt>
                <c:pt idx="975">
                  <c:v>1.7844160666797464</c:v>
                </c:pt>
                <c:pt idx="976">
                  <c:v>1.7852863411243149</c:v>
                </c:pt>
                <c:pt idx="977">
                  <c:v>1.7860279472133811</c:v>
                </c:pt>
                <c:pt idx="978">
                  <c:v>1.7866399794231465</c:v>
                </c:pt>
                <c:pt idx="979">
                  <c:v>1.7871215540538776</c:v>
                </c:pt>
                <c:pt idx="980">
                  <c:v>1.787471809769557</c:v>
                </c:pt>
                <c:pt idx="981">
                  <c:v>1.7876899081365434</c:v>
                </c:pt>
                <c:pt idx="982">
                  <c:v>1.7877750341608909</c:v>
                </c:pt>
                <c:pt idx="983">
                  <c:v>1.7877263968240991</c:v>
                </c:pt>
                <c:pt idx="984">
                  <c:v>1.7875432296169251</c:v>
                </c:pt>
                <c:pt idx="985">
                  <c:v>1.7872247910710457</c:v>
                </c:pt>
                <c:pt idx="986">
                  <c:v>1.7867703652881666</c:v>
                </c:pt>
                <c:pt idx="987">
                  <c:v>1.7861792624663615</c:v>
                </c:pt>
                <c:pt idx="988">
                  <c:v>1.7854508194232623</c:v>
                </c:pt>
                <c:pt idx="989">
                  <c:v>1.7845844001157871</c:v>
                </c:pt>
                <c:pt idx="990">
                  <c:v>1.7835793961561377</c:v>
                </c:pt>
                <c:pt idx="991">
                  <c:v>1.7824352273236446</c:v>
                </c:pt>
                <c:pt idx="992">
                  <c:v>1.7811513420722331</c:v>
                </c:pt>
                <c:pt idx="993">
                  <c:v>1.7797272180330697</c:v>
                </c:pt>
                <c:pt idx="994">
                  <c:v>1.7781623625121357</c:v>
                </c:pt>
                <c:pt idx="995">
                  <c:v>1.7764563129823148</c:v>
                </c:pt>
                <c:pt idx="996">
                  <c:v>1.774608637569721</c:v>
                </c:pt>
                <c:pt idx="997">
                  <c:v>1.7726189355338233</c:v>
                </c:pt>
                <c:pt idx="998">
                  <c:v>1.7704868377410927</c:v>
                </c:pt>
                <c:pt idx="999">
                  <c:v>1.7682120071317837</c:v>
                </c:pt>
                <c:pt idx="1000">
                  <c:v>1.7657941391794685</c:v>
                </c:pt>
                <c:pt idx="1001">
                  <c:v>1.7632329623430056</c:v>
                </c:pt>
                <c:pt idx="1002">
                  <c:v>1.7605282385105243</c:v>
                </c:pt>
                <c:pt idx="1003">
                  <c:v>1.7576797634351222</c:v>
                </c:pt>
                <c:pt idx="1004">
                  <c:v>1.7546873671618275</c:v>
                </c:pt>
                <c:pt idx="1005">
                  <c:v>1.7515509144455217</c:v>
                </c:pt>
                <c:pt idx="1006">
                  <c:v>1.7482703051594222</c:v>
                </c:pt>
                <c:pt idx="1007">
                  <c:v>1.7448454746937248</c:v>
                </c:pt>
                <c:pt idx="1008">
                  <c:v>1.741276394344093</c:v>
                </c:pt>
                <c:pt idx="1009">
                  <c:v>1.7375630716895401</c:v>
                </c:pt>
                <c:pt idx="1010">
                  <c:v>1.7337055509593928</c:v>
                </c:pt>
                <c:pt idx="1011">
                  <c:v>1.7297039133889147</c:v>
                </c:pt>
                <c:pt idx="1012">
                  <c:v>1.7255582775632399</c:v>
                </c:pt>
                <c:pt idx="1013">
                  <c:v>1.7212687997492118</c:v>
                </c:pt>
                <c:pt idx="1014">
                  <c:v>1.7168356742147746</c:v>
                </c:pt>
                <c:pt idx="1015">
                  <c:v>1.7122591335355373</c:v>
                </c:pt>
                <c:pt idx="1016">
                  <c:v>1.7075394488880975</c:v>
                </c:pt>
                <c:pt idx="1017">
                  <c:v>1.702676930329821</c:v>
                </c:pt>
                <c:pt idx="1018">
                  <c:v>1.6976719270646479</c:v>
                </c:pt>
                <c:pt idx="1019">
                  <c:v>1.6925248276945446</c:v>
                </c:pt>
                <c:pt idx="1020">
                  <c:v>1.6872360604563217</c:v>
                </c:pt>
                <c:pt idx="1021">
                  <c:v>1.681806093443337</c:v>
                </c:pt>
                <c:pt idx="1022">
                  <c:v>1.6762354348118078</c:v>
                </c:pt>
                <c:pt idx="1023">
                  <c:v>1.6705246329713206</c:v>
                </c:pt>
                <c:pt idx="1024">
                  <c:v>1.6646742767592395</c:v>
                </c:pt>
                <c:pt idx="1025">
                  <c:v>1.6586849955985925</c:v>
                </c:pt>
                <c:pt idx="1026">
                  <c:v>1.6525574596391468</c:v>
                </c:pt>
                <c:pt idx="1027">
                  <c:v>1.6462923798813034</c:v>
                </c:pt>
                <c:pt idx="1028">
                  <c:v>1.6398905082824933</c:v>
                </c:pt>
                <c:pt idx="1029">
                  <c:v>1.6333526378457193</c:v>
                </c:pt>
                <c:pt idx="1030">
                  <c:v>1.6266796026899322</c:v>
                </c:pt>
                <c:pt idx="1031">
                  <c:v>1.6198722781019514</c:v>
                </c:pt>
                <c:pt idx="1032">
                  <c:v>1.6129315805695634</c:v>
                </c:pt>
                <c:pt idx="1033">
                  <c:v>1.605858467795527</c:v>
                </c:pt>
                <c:pt idx="1034">
                  <c:v>1.5986539386922172</c:v>
                </c:pt>
                <c:pt idx="1035">
                  <c:v>1.5913190333565363</c:v>
                </c:pt>
                <c:pt idx="1036">
                  <c:v>1.5838548330249029</c:v>
                </c:pt>
                <c:pt idx="1037">
                  <c:v>1.5762624600079971</c:v>
                </c:pt>
                <c:pt idx="1038">
                  <c:v>1.5685430776050104</c:v>
                </c:pt>
                <c:pt idx="1039">
                  <c:v>1.560697889997148</c:v>
                </c:pt>
                <c:pt idx="1040">
                  <c:v>1.5527281421201409</c:v>
                </c:pt>
                <c:pt idx="1041">
                  <c:v>1.5446351195155521</c:v>
                </c:pt>
                <c:pt idx="1042">
                  <c:v>1.5364201481606237</c:v>
                </c:pt>
                <c:pt idx="1043">
                  <c:v>1.5280845942764876</c:v>
                </c:pt>
                <c:pt idx="1044">
                  <c:v>1.5196298641145314</c:v>
                </c:pt>
                <c:pt idx="1045">
                  <c:v>1.5110574037207118</c:v>
                </c:pt>
                <c:pt idx="1046">
                  <c:v>1.5023686986776903</c:v>
                </c:pt>
                <c:pt idx="1047">
                  <c:v>1.4935652738245844</c:v>
                </c:pt>
                <c:pt idx="1048">
                  <c:v>1.4846486929542091</c:v>
                </c:pt>
                <c:pt idx="1049">
                  <c:v>1.4756205584876876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08-4CEA-86FD-584A3967D90F}"/>
            </c:ext>
          </c:extLst>
        </c:ser>
        <c:ser>
          <c:idx val="2"/>
          <c:order val="2"/>
          <c:tx>
            <c:strRef>
              <c:f>Sheet1!$U$8</c:f>
              <c:strCache>
                <c:ptCount val="1"/>
                <c:pt idx="0">
                  <c:v>K*N(d2)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Sheet1!$O$9:$O$1508</c:f>
              <c:numCache>
                <c:formatCode>General</c:formatCode>
                <c:ptCount val="1500"/>
                <c:pt idx="0">
                  <c:v>1500</c:v>
                </c:pt>
                <c:pt idx="1">
                  <c:v>1499</c:v>
                </c:pt>
                <c:pt idx="2">
                  <c:v>1498</c:v>
                </c:pt>
                <c:pt idx="3">
                  <c:v>1497</c:v>
                </c:pt>
                <c:pt idx="4">
                  <c:v>1496</c:v>
                </c:pt>
                <c:pt idx="5">
                  <c:v>1495</c:v>
                </c:pt>
                <c:pt idx="6">
                  <c:v>1494</c:v>
                </c:pt>
                <c:pt idx="7">
                  <c:v>1493</c:v>
                </c:pt>
                <c:pt idx="8">
                  <c:v>1492</c:v>
                </c:pt>
                <c:pt idx="9">
                  <c:v>1491</c:v>
                </c:pt>
                <c:pt idx="10">
                  <c:v>1490</c:v>
                </c:pt>
                <c:pt idx="11">
                  <c:v>1489</c:v>
                </c:pt>
                <c:pt idx="12">
                  <c:v>1488</c:v>
                </c:pt>
                <c:pt idx="13">
                  <c:v>1487</c:v>
                </c:pt>
                <c:pt idx="14">
                  <c:v>1486</c:v>
                </c:pt>
                <c:pt idx="15">
                  <c:v>1485</c:v>
                </c:pt>
                <c:pt idx="16">
                  <c:v>1484</c:v>
                </c:pt>
                <c:pt idx="17">
                  <c:v>1483</c:v>
                </c:pt>
                <c:pt idx="18">
                  <c:v>1482</c:v>
                </c:pt>
                <c:pt idx="19">
                  <c:v>1481</c:v>
                </c:pt>
                <c:pt idx="20">
                  <c:v>1480</c:v>
                </c:pt>
                <c:pt idx="21">
                  <c:v>1479</c:v>
                </c:pt>
                <c:pt idx="22">
                  <c:v>1478</c:v>
                </c:pt>
                <c:pt idx="23">
                  <c:v>1477</c:v>
                </c:pt>
                <c:pt idx="24">
                  <c:v>1476</c:v>
                </c:pt>
                <c:pt idx="25">
                  <c:v>1475</c:v>
                </c:pt>
                <c:pt idx="26">
                  <c:v>1474</c:v>
                </c:pt>
                <c:pt idx="27">
                  <c:v>1473</c:v>
                </c:pt>
                <c:pt idx="28">
                  <c:v>1472</c:v>
                </c:pt>
                <c:pt idx="29">
                  <c:v>1471</c:v>
                </c:pt>
                <c:pt idx="30">
                  <c:v>1470</c:v>
                </c:pt>
                <c:pt idx="31">
                  <c:v>1469</c:v>
                </c:pt>
                <c:pt idx="32">
                  <c:v>1468</c:v>
                </c:pt>
                <c:pt idx="33">
                  <c:v>1467</c:v>
                </c:pt>
                <c:pt idx="34">
                  <c:v>1466</c:v>
                </c:pt>
                <c:pt idx="35">
                  <c:v>1465</c:v>
                </c:pt>
                <c:pt idx="36">
                  <c:v>1464</c:v>
                </c:pt>
                <c:pt idx="37">
                  <c:v>1463</c:v>
                </c:pt>
                <c:pt idx="38">
                  <c:v>1462</c:v>
                </c:pt>
                <c:pt idx="39">
                  <c:v>1461</c:v>
                </c:pt>
                <c:pt idx="40">
                  <c:v>1460</c:v>
                </c:pt>
                <c:pt idx="41">
                  <c:v>1459</c:v>
                </c:pt>
                <c:pt idx="42">
                  <c:v>1458</c:v>
                </c:pt>
                <c:pt idx="43">
                  <c:v>1457</c:v>
                </c:pt>
                <c:pt idx="44">
                  <c:v>1456</c:v>
                </c:pt>
                <c:pt idx="45">
                  <c:v>1455</c:v>
                </c:pt>
                <c:pt idx="46">
                  <c:v>1454</c:v>
                </c:pt>
                <c:pt idx="47">
                  <c:v>1453</c:v>
                </c:pt>
                <c:pt idx="48">
                  <c:v>1452</c:v>
                </c:pt>
                <c:pt idx="49">
                  <c:v>1451</c:v>
                </c:pt>
                <c:pt idx="50">
                  <c:v>1450</c:v>
                </c:pt>
                <c:pt idx="51">
                  <c:v>1449</c:v>
                </c:pt>
                <c:pt idx="52">
                  <c:v>1448</c:v>
                </c:pt>
                <c:pt idx="53">
                  <c:v>1447</c:v>
                </c:pt>
                <c:pt idx="54">
                  <c:v>1446</c:v>
                </c:pt>
                <c:pt idx="55">
                  <c:v>1445</c:v>
                </c:pt>
                <c:pt idx="56">
                  <c:v>1444</c:v>
                </c:pt>
                <c:pt idx="57">
                  <c:v>1443</c:v>
                </c:pt>
                <c:pt idx="58">
                  <c:v>1442</c:v>
                </c:pt>
                <c:pt idx="59">
                  <c:v>1441</c:v>
                </c:pt>
                <c:pt idx="60">
                  <c:v>1440</c:v>
                </c:pt>
                <c:pt idx="61">
                  <c:v>1439</c:v>
                </c:pt>
                <c:pt idx="62">
                  <c:v>1438</c:v>
                </c:pt>
                <c:pt idx="63">
                  <c:v>1437</c:v>
                </c:pt>
                <c:pt idx="64">
                  <c:v>1436</c:v>
                </c:pt>
                <c:pt idx="65">
                  <c:v>1435</c:v>
                </c:pt>
                <c:pt idx="66">
                  <c:v>1434</c:v>
                </c:pt>
                <c:pt idx="67">
                  <c:v>1433</c:v>
                </c:pt>
                <c:pt idx="68">
                  <c:v>1432</c:v>
                </c:pt>
                <c:pt idx="69">
                  <c:v>1431</c:v>
                </c:pt>
                <c:pt idx="70">
                  <c:v>1430</c:v>
                </c:pt>
                <c:pt idx="71">
                  <c:v>1429</c:v>
                </c:pt>
                <c:pt idx="72">
                  <c:v>1428</c:v>
                </c:pt>
                <c:pt idx="73">
                  <c:v>1427</c:v>
                </c:pt>
                <c:pt idx="74">
                  <c:v>1426</c:v>
                </c:pt>
                <c:pt idx="75">
                  <c:v>1425</c:v>
                </c:pt>
                <c:pt idx="76">
                  <c:v>1424</c:v>
                </c:pt>
                <c:pt idx="77">
                  <c:v>1423</c:v>
                </c:pt>
                <c:pt idx="78">
                  <c:v>1422</c:v>
                </c:pt>
                <c:pt idx="79">
                  <c:v>1421</c:v>
                </c:pt>
                <c:pt idx="80">
                  <c:v>1420</c:v>
                </c:pt>
                <c:pt idx="81">
                  <c:v>1419</c:v>
                </c:pt>
                <c:pt idx="82">
                  <c:v>1418</c:v>
                </c:pt>
                <c:pt idx="83">
                  <c:v>1417</c:v>
                </c:pt>
                <c:pt idx="84">
                  <c:v>1416</c:v>
                </c:pt>
                <c:pt idx="85">
                  <c:v>1415</c:v>
                </c:pt>
                <c:pt idx="86">
                  <c:v>1414</c:v>
                </c:pt>
                <c:pt idx="87">
                  <c:v>1413</c:v>
                </c:pt>
                <c:pt idx="88">
                  <c:v>1412</c:v>
                </c:pt>
                <c:pt idx="89">
                  <c:v>1411</c:v>
                </c:pt>
                <c:pt idx="90">
                  <c:v>1410</c:v>
                </c:pt>
                <c:pt idx="91">
                  <c:v>1409</c:v>
                </c:pt>
                <c:pt idx="92">
                  <c:v>1408</c:v>
                </c:pt>
                <c:pt idx="93">
                  <c:v>1407</c:v>
                </c:pt>
                <c:pt idx="94">
                  <c:v>1406</c:v>
                </c:pt>
                <c:pt idx="95">
                  <c:v>1405</c:v>
                </c:pt>
                <c:pt idx="96">
                  <c:v>1404</c:v>
                </c:pt>
                <c:pt idx="97">
                  <c:v>1403</c:v>
                </c:pt>
                <c:pt idx="98">
                  <c:v>1402</c:v>
                </c:pt>
                <c:pt idx="99">
                  <c:v>1401</c:v>
                </c:pt>
                <c:pt idx="100">
                  <c:v>1400</c:v>
                </c:pt>
                <c:pt idx="101">
                  <c:v>1399</c:v>
                </c:pt>
                <c:pt idx="102">
                  <c:v>1398</c:v>
                </c:pt>
                <c:pt idx="103">
                  <c:v>1397</c:v>
                </c:pt>
                <c:pt idx="104">
                  <c:v>1396</c:v>
                </c:pt>
                <c:pt idx="105">
                  <c:v>1395</c:v>
                </c:pt>
                <c:pt idx="106">
                  <c:v>1394</c:v>
                </c:pt>
                <c:pt idx="107">
                  <c:v>1393</c:v>
                </c:pt>
                <c:pt idx="108">
                  <c:v>1392</c:v>
                </c:pt>
                <c:pt idx="109">
                  <c:v>1391</c:v>
                </c:pt>
                <c:pt idx="110">
                  <c:v>1390</c:v>
                </c:pt>
                <c:pt idx="111">
                  <c:v>1389</c:v>
                </c:pt>
                <c:pt idx="112">
                  <c:v>1388</c:v>
                </c:pt>
                <c:pt idx="113">
                  <c:v>1387</c:v>
                </c:pt>
                <c:pt idx="114">
                  <c:v>1386</c:v>
                </c:pt>
                <c:pt idx="115">
                  <c:v>1385</c:v>
                </c:pt>
                <c:pt idx="116">
                  <c:v>1384</c:v>
                </c:pt>
                <c:pt idx="117">
                  <c:v>1383</c:v>
                </c:pt>
                <c:pt idx="118">
                  <c:v>1382</c:v>
                </c:pt>
                <c:pt idx="119">
                  <c:v>1381</c:v>
                </c:pt>
                <c:pt idx="120">
                  <c:v>1380</c:v>
                </c:pt>
                <c:pt idx="121">
                  <c:v>1379</c:v>
                </c:pt>
                <c:pt idx="122">
                  <c:v>1378</c:v>
                </c:pt>
                <c:pt idx="123">
                  <c:v>1377</c:v>
                </c:pt>
                <c:pt idx="124">
                  <c:v>1376</c:v>
                </c:pt>
                <c:pt idx="125">
                  <c:v>1375</c:v>
                </c:pt>
                <c:pt idx="126">
                  <c:v>1374</c:v>
                </c:pt>
                <c:pt idx="127">
                  <c:v>1373</c:v>
                </c:pt>
                <c:pt idx="128">
                  <c:v>1372</c:v>
                </c:pt>
                <c:pt idx="129">
                  <c:v>1371</c:v>
                </c:pt>
                <c:pt idx="130">
                  <c:v>1370</c:v>
                </c:pt>
                <c:pt idx="131">
                  <c:v>1369</c:v>
                </c:pt>
                <c:pt idx="132">
                  <c:v>1368</c:v>
                </c:pt>
                <c:pt idx="133">
                  <c:v>1367</c:v>
                </c:pt>
                <c:pt idx="134">
                  <c:v>1366</c:v>
                </c:pt>
                <c:pt idx="135">
                  <c:v>1365</c:v>
                </c:pt>
                <c:pt idx="136">
                  <c:v>1364</c:v>
                </c:pt>
                <c:pt idx="137">
                  <c:v>1363</c:v>
                </c:pt>
                <c:pt idx="138">
                  <c:v>1362</c:v>
                </c:pt>
                <c:pt idx="139">
                  <c:v>1361</c:v>
                </c:pt>
                <c:pt idx="140">
                  <c:v>1360</c:v>
                </c:pt>
                <c:pt idx="141">
                  <c:v>1359</c:v>
                </c:pt>
                <c:pt idx="142">
                  <c:v>1358</c:v>
                </c:pt>
                <c:pt idx="143">
                  <c:v>1357</c:v>
                </c:pt>
                <c:pt idx="144">
                  <c:v>1356</c:v>
                </c:pt>
                <c:pt idx="145">
                  <c:v>1355</c:v>
                </c:pt>
                <c:pt idx="146">
                  <c:v>1354</c:v>
                </c:pt>
                <c:pt idx="147">
                  <c:v>1353</c:v>
                </c:pt>
                <c:pt idx="148">
                  <c:v>1352</c:v>
                </c:pt>
                <c:pt idx="149">
                  <c:v>1351</c:v>
                </c:pt>
                <c:pt idx="150">
                  <c:v>1350</c:v>
                </c:pt>
                <c:pt idx="151">
                  <c:v>1349</c:v>
                </c:pt>
                <c:pt idx="152">
                  <c:v>1348</c:v>
                </c:pt>
                <c:pt idx="153">
                  <c:v>1347</c:v>
                </c:pt>
                <c:pt idx="154">
                  <c:v>1346</c:v>
                </c:pt>
                <c:pt idx="155">
                  <c:v>1345</c:v>
                </c:pt>
                <c:pt idx="156">
                  <c:v>1344</c:v>
                </c:pt>
                <c:pt idx="157">
                  <c:v>1343</c:v>
                </c:pt>
                <c:pt idx="158">
                  <c:v>1342</c:v>
                </c:pt>
                <c:pt idx="159">
                  <c:v>1341</c:v>
                </c:pt>
                <c:pt idx="160">
                  <c:v>1340</c:v>
                </c:pt>
                <c:pt idx="161">
                  <c:v>1339</c:v>
                </c:pt>
                <c:pt idx="162">
                  <c:v>1338</c:v>
                </c:pt>
                <c:pt idx="163">
                  <c:v>1337</c:v>
                </c:pt>
                <c:pt idx="164">
                  <c:v>1336</c:v>
                </c:pt>
                <c:pt idx="165">
                  <c:v>1335</c:v>
                </c:pt>
                <c:pt idx="166">
                  <c:v>1334</c:v>
                </c:pt>
                <c:pt idx="167">
                  <c:v>1333</c:v>
                </c:pt>
                <c:pt idx="168">
                  <c:v>1332</c:v>
                </c:pt>
                <c:pt idx="169">
                  <c:v>1331</c:v>
                </c:pt>
                <c:pt idx="170">
                  <c:v>1330</c:v>
                </c:pt>
                <c:pt idx="171">
                  <c:v>1329</c:v>
                </c:pt>
                <c:pt idx="172">
                  <c:v>1328</c:v>
                </c:pt>
                <c:pt idx="173">
                  <c:v>1327</c:v>
                </c:pt>
                <c:pt idx="174">
                  <c:v>1326</c:v>
                </c:pt>
                <c:pt idx="175">
                  <c:v>1325</c:v>
                </c:pt>
                <c:pt idx="176">
                  <c:v>1324</c:v>
                </c:pt>
                <c:pt idx="177">
                  <c:v>1323</c:v>
                </c:pt>
                <c:pt idx="178">
                  <c:v>1322</c:v>
                </c:pt>
                <c:pt idx="179">
                  <c:v>1321</c:v>
                </c:pt>
                <c:pt idx="180">
                  <c:v>1320</c:v>
                </c:pt>
                <c:pt idx="181">
                  <c:v>1319</c:v>
                </c:pt>
                <c:pt idx="182">
                  <c:v>1318</c:v>
                </c:pt>
                <c:pt idx="183">
                  <c:v>1317</c:v>
                </c:pt>
                <c:pt idx="184">
                  <c:v>1316</c:v>
                </c:pt>
                <c:pt idx="185">
                  <c:v>1315</c:v>
                </c:pt>
                <c:pt idx="186">
                  <c:v>1314</c:v>
                </c:pt>
                <c:pt idx="187">
                  <c:v>1313</c:v>
                </c:pt>
                <c:pt idx="188">
                  <c:v>1312</c:v>
                </c:pt>
                <c:pt idx="189">
                  <c:v>1311</c:v>
                </c:pt>
                <c:pt idx="190">
                  <c:v>1310</c:v>
                </c:pt>
                <c:pt idx="191">
                  <c:v>1309</c:v>
                </c:pt>
                <c:pt idx="192">
                  <c:v>1308</c:v>
                </c:pt>
                <c:pt idx="193">
                  <c:v>1307</c:v>
                </c:pt>
                <c:pt idx="194">
                  <c:v>1306</c:v>
                </c:pt>
                <c:pt idx="195">
                  <c:v>1305</c:v>
                </c:pt>
                <c:pt idx="196">
                  <c:v>1304</c:v>
                </c:pt>
                <c:pt idx="197">
                  <c:v>1303</c:v>
                </c:pt>
                <c:pt idx="198">
                  <c:v>1302</c:v>
                </c:pt>
                <c:pt idx="199">
                  <c:v>1301</c:v>
                </c:pt>
                <c:pt idx="200">
                  <c:v>1300</c:v>
                </c:pt>
                <c:pt idx="201">
                  <c:v>1299</c:v>
                </c:pt>
                <c:pt idx="202">
                  <c:v>1298</c:v>
                </c:pt>
                <c:pt idx="203">
                  <c:v>1297</c:v>
                </c:pt>
                <c:pt idx="204">
                  <c:v>1296</c:v>
                </c:pt>
                <c:pt idx="205">
                  <c:v>1295</c:v>
                </c:pt>
                <c:pt idx="206">
                  <c:v>1294</c:v>
                </c:pt>
                <c:pt idx="207">
                  <c:v>1293</c:v>
                </c:pt>
                <c:pt idx="208">
                  <c:v>1292</c:v>
                </c:pt>
                <c:pt idx="209">
                  <c:v>1291</c:v>
                </c:pt>
                <c:pt idx="210">
                  <c:v>1290</c:v>
                </c:pt>
                <c:pt idx="211">
                  <c:v>1289</c:v>
                </c:pt>
                <c:pt idx="212">
                  <c:v>1288</c:v>
                </c:pt>
                <c:pt idx="213">
                  <c:v>1287</c:v>
                </c:pt>
                <c:pt idx="214">
                  <c:v>1286</c:v>
                </c:pt>
                <c:pt idx="215">
                  <c:v>1285</c:v>
                </c:pt>
                <c:pt idx="216">
                  <c:v>1284</c:v>
                </c:pt>
                <c:pt idx="217">
                  <c:v>1283</c:v>
                </c:pt>
                <c:pt idx="218">
                  <c:v>1282</c:v>
                </c:pt>
                <c:pt idx="219">
                  <c:v>1281</c:v>
                </c:pt>
                <c:pt idx="220">
                  <c:v>1280</c:v>
                </c:pt>
                <c:pt idx="221">
                  <c:v>1279</c:v>
                </c:pt>
                <c:pt idx="222">
                  <c:v>1278</c:v>
                </c:pt>
                <c:pt idx="223">
                  <c:v>1277</c:v>
                </c:pt>
                <c:pt idx="224">
                  <c:v>1276</c:v>
                </c:pt>
                <c:pt idx="225">
                  <c:v>1275</c:v>
                </c:pt>
                <c:pt idx="226">
                  <c:v>1274</c:v>
                </c:pt>
                <c:pt idx="227">
                  <c:v>1273</c:v>
                </c:pt>
                <c:pt idx="228">
                  <c:v>1272</c:v>
                </c:pt>
                <c:pt idx="229">
                  <c:v>1271</c:v>
                </c:pt>
                <c:pt idx="230">
                  <c:v>1270</c:v>
                </c:pt>
                <c:pt idx="231">
                  <c:v>1269</c:v>
                </c:pt>
                <c:pt idx="232">
                  <c:v>1268</c:v>
                </c:pt>
                <c:pt idx="233">
                  <c:v>1267</c:v>
                </c:pt>
                <c:pt idx="234">
                  <c:v>1266</c:v>
                </c:pt>
                <c:pt idx="235">
                  <c:v>1265</c:v>
                </c:pt>
                <c:pt idx="236">
                  <c:v>1264</c:v>
                </c:pt>
                <c:pt idx="237">
                  <c:v>1263</c:v>
                </c:pt>
                <c:pt idx="238">
                  <c:v>1262</c:v>
                </c:pt>
                <c:pt idx="239">
                  <c:v>1261</c:v>
                </c:pt>
                <c:pt idx="240">
                  <c:v>1260</c:v>
                </c:pt>
                <c:pt idx="241">
                  <c:v>1259</c:v>
                </c:pt>
                <c:pt idx="242">
                  <c:v>1258</c:v>
                </c:pt>
                <c:pt idx="243">
                  <c:v>1257</c:v>
                </c:pt>
                <c:pt idx="244">
                  <c:v>1256</c:v>
                </c:pt>
                <c:pt idx="245">
                  <c:v>1255</c:v>
                </c:pt>
                <c:pt idx="246">
                  <c:v>1254</c:v>
                </c:pt>
                <c:pt idx="247">
                  <c:v>1253</c:v>
                </c:pt>
                <c:pt idx="248">
                  <c:v>1252</c:v>
                </c:pt>
                <c:pt idx="249">
                  <c:v>1251</c:v>
                </c:pt>
                <c:pt idx="250">
                  <c:v>1250</c:v>
                </c:pt>
                <c:pt idx="251">
                  <c:v>1249</c:v>
                </c:pt>
                <c:pt idx="252">
                  <c:v>1248</c:v>
                </c:pt>
                <c:pt idx="253">
                  <c:v>1247</c:v>
                </c:pt>
                <c:pt idx="254">
                  <c:v>1246</c:v>
                </c:pt>
                <c:pt idx="255">
                  <c:v>1245</c:v>
                </c:pt>
                <c:pt idx="256">
                  <c:v>1244</c:v>
                </c:pt>
                <c:pt idx="257">
                  <c:v>1243</c:v>
                </c:pt>
                <c:pt idx="258">
                  <c:v>1242</c:v>
                </c:pt>
                <c:pt idx="259">
                  <c:v>1241</c:v>
                </c:pt>
                <c:pt idx="260">
                  <c:v>1240</c:v>
                </c:pt>
                <c:pt idx="261">
                  <c:v>1239</c:v>
                </c:pt>
                <c:pt idx="262">
                  <c:v>1238</c:v>
                </c:pt>
                <c:pt idx="263">
                  <c:v>1237</c:v>
                </c:pt>
                <c:pt idx="264">
                  <c:v>1236</c:v>
                </c:pt>
                <c:pt idx="265">
                  <c:v>1235</c:v>
                </c:pt>
                <c:pt idx="266">
                  <c:v>1234</c:v>
                </c:pt>
                <c:pt idx="267">
                  <c:v>1233</c:v>
                </c:pt>
                <c:pt idx="268">
                  <c:v>1232</c:v>
                </c:pt>
                <c:pt idx="269">
                  <c:v>1231</c:v>
                </c:pt>
                <c:pt idx="270">
                  <c:v>1230</c:v>
                </c:pt>
                <c:pt idx="271">
                  <c:v>1229</c:v>
                </c:pt>
                <c:pt idx="272">
                  <c:v>1228</c:v>
                </c:pt>
                <c:pt idx="273">
                  <c:v>1227</c:v>
                </c:pt>
                <c:pt idx="274">
                  <c:v>1226</c:v>
                </c:pt>
                <c:pt idx="275">
                  <c:v>1225</c:v>
                </c:pt>
                <c:pt idx="276">
                  <c:v>1224</c:v>
                </c:pt>
                <c:pt idx="277">
                  <c:v>1223</c:v>
                </c:pt>
                <c:pt idx="278">
                  <c:v>1222</c:v>
                </c:pt>
                <c:pt idx="279">
                  <c:v>1221</c:v>
                </c:pt>
                <c:pt idx="280">
                  <c:v>1220</c:v>
                </c:pt>
                <c:pt idx="281">
                  <c:v>1219</c:v>
                </c:pt>
                <c:pt idx="282">
                  <c:v>1218</c:v>
                </c:pt>
                <c:pt idx="283">
                  <c:v>1217</c:v>
                </c:pt>
                <c:pt idx="284">
                  <c:v>1216</c:v>
                </c:pt>
                <c:pt idx="285">
                  <c:v>1215</c:v>
                </c:pt>
                <c:pt idx="286">
                  <c:v>1214</c:v>
                </c:pt>
                <c:pt idx="287">
                  <c:v>1213</c:v>
                </c:pt>
                <c:pt idx="288">
                  <c:v>1212</c:v>
                </c:pt>
                <c:pt idx="289">
                  <c:v>1211</c:v>
                </c:pt>
                <c:pt idx="290">
                  <c:v>1210</c:v>
                </c:pt>
                <c:pt idx="291">
                  <c:v>1209</c:v>
                </c:pt>
                <c:pt idx="292">
                  <c:v>1208</c:v>
                </c:pt>
                <c:pt idx="293">
                  <c:v>1207</c:v>
                </c:pt>
                <c:pt idx="294">
                  <c:v>1206</c:v>
                </c:pt>
                <c:pt idx="295">
                  <c:v>1205</c:v>
                </c:pt>
                <c:pt idx="296">
                  <c:v>1204</c:v>
                </c:pt>
                <c:pt idx="297">
                  <c:v>1203</c:v>
                </c:pt>
                <c:pt idx="298">
                  <c:v>1202</c:v>
                </c:pt>
                <c:pt idx="299">
                  <c:v>1201</c:v>
                </c:pt>
                <c:pt idx="300">
                  <c:v>1200</c:v>
                </c:pt>
                <c:pt idx="301">
                  <c:v>1199</c:v>
                </c:pt>
                <c:pt idx="302">
                  <c:v>1198</c:v>
                </c:pt>
                <c:pt idx="303">
                  <c:v>1197</c:v>
                </c:pt>
                <c:pt idx="304">
                  <c:v>1196</c:v>
                </c:pt>
                <c:pt idx="305">
                  <c:v>1195</c:v>
                </c:pt>
                <c:pt idx="306">
                  <c:v>1194</c:v>
                </c:pt>
                <c:pt idx="307">
                  <c:v>1193</c:v>
                </c:pt>
                <c:pt idx="308">
                  <c:v>1192</c:v>
                </c:pt>
                <c:pt idx="309">
                  <c:v>1191</c:v>
                </c:pt>
                <c:pt idx="310">
                  <c:v>1190</c:v>
                </c:pt>
                <c:pt idx="311">
                  <c:v>1189</c:v>
                </c:pt>
                <c:pt idx="312">
                  <c:v>1188</c:v>
                </c:pt>
                <c:pt idx="313">
                  <c:v>1187</c:v>
                </c:pt>
                <c:pt idx="314">
                  <c:v>1186</c:v>
                </c:pt>
                <c:pt idx="315">
                  <c:v>1185</c:v>
                </c:pt>
                <c:pt idx="316">
                  <c:v>1184</c:v>
                </c:pt>
                <c:pt idx="317">
                  <c:v>1183</c:v>
                </c:pt>
                <c:pt idx="318">
                  <c:v>1182</c:v>
                </c:pt>
                <c:pt idx="319">
                  <c:v>1181</c:v>
                </c:pt>
                <c:pt idx="320">
                  <c:v>1180</c:v>
                </c:pt>
                <c:pt idx="321">
                  <c:v>1179</c:v>
                </c:pt>
                <c:pt idx="322">
                  <c:v>1178</c:v>
                </c:pt>
                <c:pt idx="323">
                  <c:v>1177</c:v>
                </c:pt>
                <c:pt idx="324">
                  <c:v>1176</c:v>
                </c:pt>
                <c:pt idx="325">
                  <c:v>1175</c:v>
                </c:pt>
                <c:pt idx="326">
                  <c:v>1174</c:v>
                </c:pt>
                <c:pt idx="327">
                  <c:v>1173</c:v>
                </c:pt>
                <c:pt idx="328">
                  <c:v>1172</c:v>
                </c:pt>
                <c:pt idx="329">
                  <c:v>1171</c:v>
                </c:pt>
                <c:pt idx="330">
                  <c:v>1170</c:v>
                </c:pt>
                <c:pt idx="331">
                  <c:v>1169</c:v>
                </c:pt>
                <c:pt idx="332">
                  <c:v>1168</c:v>
                </c:pt>
                <c:pt idx="333">
                  <c:v>1167</c:v>
                </c:pt>
                <c:pt idx="334">
                  <c:v>1166</c:v>
                </c:pt>
                <c:pt idx="335">
                  <c:v>1165</c:v>
                </c:pt>
                <c:pt idx="336">
                  <c:v>1164</c:v>
                </c:pt>
                <c:pt idx="337">
                  <c:v>1163</c:v>
                </c:pt>
                <c:pt idx="338">
                  <c:v>1162</c:v>
                </c:pt>
                <c:pt idx="339">
                  <c:v>1161</c:v>
                </c:pt>
                <c:pt idx="340">
                  <c:v>1160</c:v>
                </c:pt>
                <c:pt idx="341">
                  <c:v>1159</c:v>
                </c:pt>
                <c:pt idx="342">
                  <c:v>1158</c:v>
                </c:pt>
                <c:pt idx="343">
                  <c:v>1157</c:v>
                </c:pt>
                <c:pt idx="344">
                  <c:v>1156</c:v>
                </c:pt>
                <c:pt idx="345">
                  <c:v>1155</c:v>
                </c:pt>
                <c:pt idx="346">
                  <c:v>1154</c:v>
                </c:pt>
                <c:pt idx="347">
                  <c:v>1153</c:v>
                </c:pt>
                <c:pt idx="348">
                  <c:v>1152</c:v>
                </c:pt>
                <c:pt idx="349">
                  <c:v>1151</c:v>
                </c:pt>
                <c:pt idx="350">
                  <c:v>1150</c:v>
                </c:pt>
                <c:pt idx="351">
                  <c:v>1149</c:v>
                </c:pt>
                <c:pt idx="352">
                  <c:v>1148</c:v>
                </c:pt>
                <c:pt idx="353">
                  <c:v>1147</c:v>
                </c:pt>
                <c:pt idx="354">
                  <c:v>1146</c:v>
                </c:pt>
                <c:pt idx="355">
                  <c:v>1145</c:v>
                </c:pt>
                <c:pt idx="356">
                  <c:v>1144</c:v>
                </c:pt>
                <c:pt idx="357">
                  <c:v>1143</c:v>
                </c:pt>
                <c:pt idx="358">
                  <c:v>1142</c:v>
                </c:pt>
                <c:pt idx="359">
                  <c:v>1141</c:v>
                </c:pt>
                <c:pt idx="360">
                  <c:v>1140</c:v>
                </c:pt>
                <c:pt idx="361">
                  <c:v>1139</c:v>
                </c:pt>
                <c:pt idx="362">
                  <c:v>1138</c:v>
                </c:pt>
                <c:pt idx="363">
                  <c:v>1137</c:v>
                </c:pt>
                <c:pt idx="364">
                  <c:v>1136</c:v>
                </c:pt>
                <c:pt idx="365">
                  <c:v>1135</c:v>
                </c:pt>
                <c:pt idx="366">
                  <c:v>1134</c:v>
                </c:pt>
                <c:pt idx="367">
                  <c:v>1133</c:v>
                </c:pt>
                <c:pt idx="368">
                  <c:v>1132</c:v>
                </c:pt>
                <c:pt idx="369">
                  <c:v>1131</c:v>
                </c:pt>
                <c:pt idx="370">
                  <c:v>1130</c:v>
                </c:pt>
                <c:pt idx="371">
                  <c:v>1129</c:v>
                </c:pt>
                <c:pt idx="372">
                  <c:v>1128</c:v>
                </c:pt>
                <c:pt idx="373">
                  <c:v>1127</c:v>
                </c:pt>
                <c:pt idx="374">
                  <c:v>1126</c:v>
                </c:pt>
                <c:pt idx="375">
                  <c:v>1125</c:v>
                </c:pt>
                <c:pt idx="376">
                  <c:v>1124</c:v>
                </c:pt>
                <c:pt idx="377">
                  <c:v>1123</c:v>
                </c:pt>
                <c:pt idx="378">
                  <c:v>1122</c:v>
                </c:pt>
                <c:pt idx="379">
                  <c:v>1121</c:v>
                </c:pt>
                <c:pt idx="380">
                  <c:v>1120</c:v>
                </c:pt>
                <c:pt idx="381">
                  <c:v>1119</c:v>
                </c:pt>
                <c:pt idx="382">
                  <c:v>1118</c:v>
                </c:pt>
                <c:pt idx="383">
                  <c:v>1117</c:v>
                </c:pt>
                <c:pt idx="384">
                  <c:v>1116</c:v>
                </c:pt>
                <c:pt idx="385">
                  <c:v>1115</c:v>
                </c:pt>
                <c:pt idx="386">
                  <c:v>1114</c:v>
                </c:pt>
                <c:pt idx="387">
                  <c:v>1113</c:v>
                </c:pt>
                <c:pt idx="388">
                  <c:v>1112</c:v>
                </c:pt>
                <c:pt idx="389">
                  <c:v>1111</c:v>
                </c:pt>
                <c:pt idx="390">
                  <c:v>1110</c:v>
                </c:pt>
                <c:pt idx="391">
                  <c:v>1109</c:v>
                </c:pt>
                <c:pt idx="392">
                  <c:v>1108</c:v>
                </c:pt>
                <c:pt idx="393">
                  <c:v>1107</c:v>
                </c:pt>
                <c:pt idx="394">
                  <c:v>1106</c:v>
                </c:pt>
                <c:pt idx="395">
                  <c:v>1105</c:v>
                </c:pt>
                <c:pt idx="396">
                  <c:v>1104</c:v>
                </c:pt>
                <c:pt idx="397">
                  <c:v>1103</c:v>
                </c:pt>
                <c:pt idx="398">
                  <c:v>1102</c:v>
                </c:pt>
                <c:pt idx="399">
                  <c:v>1101</c:v>
                </c:pt>
                <c:pt idx="400">
                  <c:v>1100</c:v>
                </c:pt>
                <c:pt idx="401">
                  <c:v>1099</c:v>
                </c:pt>
                <c:pt idx="402">
                  <c:v>1098</c:v>
                </c:pt>
                <c:pt idx="403">
                  <c:v>1097</c:v>
                </c:pt>
                <c:pt idx="404">
                  <c:v>1096</c:v>
                </c:pt>
                <c:pt idx="405">
                  <c:v>1095</c:v>
                </c:pt>
                <c:pt idx="406">
                  <c:v>1094</c:v>
                </c:pt>
                <c:pt idx="407">
                  <c:v>1093</c:v>
                </c:pt>
                <c:pt idx="408">
                  <c:v>1092</c:v>
                </c:pt>
                <c:pt idx="409">
                  <c:v>1091</c:v>
                </c:pt>
                <c:pt idx="410">
                  <c:v>1090</c:v>
                </c:pt>
                <c:pt idx="411">
                  <c:v>1089</c:v>
                </c:pt>
                <c:pt idx="412">
                  <c:v>1088</c:v>
                </c:pt>
                <c:pt idx="413">
                  <c:v>1087</c:v>
                </c:pt>
                <c:pt idx="414">
                  <c:v>1086</c:v>
                </c:pt>
                <c:pt idx="415">
                  <c:v>1085</c:v>
                </c:pt>
                <c:pt idx="416">
                  <c:v>1084</c:v>
                </c:pt>
                <c:pt idx="417">
                  <c:v>1083</c:v>
                </c:pt>
                <c:pt idx="418">
                  <c:v>1082</c:v>
                </c:pt>
                <c:pt idx="419">
                  <c:v>1081</c:v>
                </c:pt>
                <c:pt idx="420">
                  <c:v>1080</c:v>
                </c:pt>
                <c:pt idx="421">
                  <c:v>1079</c:v>
                </c:pt>
                <c:pt idx="422">
                  <c:v>1078</c:v>
                </c:pt>
                <c:pt idx="423">
                  <c:v>1077</c:v>
                </c:pt>
                <c:pt idx="424">
                  <c:v>1076</c:v>
                </c:pt>
                <c:pt idx="425">
                  <c:v>1075</c:v>
                </c:pt>
                <c:pt idx="426">
                  <c:v>1074</c:v>
                </c:pt>
                <c:pt idx="427">
                  <c:v>1073</c:v>
                </c:pt>
                <c:pt idx="428">
                  <c:v>1072</c:v>
                </c:pt>
                <c:pt idx="429">
                  <c:v>1071</c:v>
                </c:pt>
                <c:pt idx="430">
                  <c:v>1070</c:v>
                </c:pt>
                <c:pt idx="431">
                  <c:v>1069</c:v>
                </c:pt>
                <c:pt idx="432">
                  <c:v>1068</c:v>
                </c:pt>
                <c:pt idx="433">
                  <c:v>1067</c:v>
                </c:pt>
                <c:pt idx="434">
                  <c:v>1066</c:v>
                </c:pt>
                <c:pt idx="435">
                  <c:v>1065</c:v>
                </c:pt>
                <c:pt idx="436">
                  <c:v>1064</c:v>
                </c:pt>
                <c:pt idx="437">
                  <c:v>1063</c:v>
                </c:pt>
                <c:pt idx="438">
                  <c:v>1062</c:v>
                </c:pt>
                <c:pt idx="439">
                  <c:v>1061</c:v>
                </c:pt>
                <c:pt idx="440">
                  <c:v>1060</c:v>
                </c:pt>
                <c:pt idx="441">
                  <c:v>1059</c:v>
                </c:pt>
                <c:pt idx="442">
                  <c:v>1058</c:v>
                </c:pt>
                <c:pt idx="443">
                  <c:v>1057</c:v>
                </c:pt>
                <c:pt idx="444">
                  <c:v>1056</c:v>
                </c:pt>
                <c:pt idx="445">
                  <c:v>1055</c:v>
                </c:pt>
                <c:pt idx="446">
                  <c:v>1054</c:v>
                </c:pt>
                <c:pt idx="447">
                  <c:v>1053</c:v>
                </c:pt>
                <c:pt idx="448">
                  <c:v>1052</c:v>
                </c:pt>
                <c:pt idx="449">
                  <c:v>1051</c:v>
                </c:pt>
                <c:pt idx="450">
                  <c:v>1050</c:v>
                </c:pt>
                <c:pt idx="451">
                  <c:v>1049</c:v>
                </c:pt>
                <c:pt idx="452">
                  <c:v>1048</c:v>
                </c:pt>
                <c:pt idx="453">
                  <c:v>1047</c:v>
                </c:pt>
                <c:pt idx="454">
                  <c:v>1046</c:v>
                </c:pt>
                <c:pt idx="455">
                  <c:v>1045</c:v>
                </c:pt>
                <c:pt idx="456">
                  <c:v>1044</c:v>
                </c:pt>
                <c:pt idx="457">
                  <c:v>1043</c:v>
                </c:pt>
                <c:pt idx="458">
                  <c:v>1042</c:v>
                </c:pt>
                <c:pt idx="459">
                  <c:v>1041</c:v>
                </c:pt>
                <c:pt idx="460">
                  <c:v>1040</c:v>
                </c:pt>
                <c:pt idx="461">
                  <c:v>1039</c:v>
                </c:pt>
                <c:pt idx="462">
                  <c:v>1038</c:v>
                </c:pt>
                <c:pt idx="463">
                  <c:v>1037</c:v>
                </c:pt>
                <c:pt idx="464">
                  <c:v>1036</c:v>
                </c:pt>
                <c:pt idx="465">
                  <c:v>1035</c:v>
                </c:pt>
                <c:pt idx="466">
                  <c:v>1034</c:v>
                </c:pt>
                <c:pt idx="467">
                  <c:v>1033</c:v>
                </c:pt>
                <c:pt idx="468">
                  <c:v>1032</c:v>
                </c:pt>
                <c:pt idx="469">
                  <c:v>1031</c:v>
                </c:pt>
                <c:pt idx="470">
                  <c:v>1030</c:v>
                </c:pt>
                <c:pt idx="471">
                  <c:v>1029</c:v>
                </c:pt>
                <c:pt idx="472">
                  <c:v>1028</c:v>
                </c:pt>
                <c:pt idx="473">
                  <c:v>1027</c:v>
                </c:pt>
                <c:pt idx="474">
                  <c:v>1026</c:v>
                </c:pt>
                <c:pt idx="475">
                  <c:v>1025</c:v>
                </c:pt>
                <c:pt idx="476">
                  <c:v>1024</c:v>
                </c:pt>
                <c:pt idx="477">
                  <c:v>1023</c:v>
                </c:pt>
                <c:pt idx="478">
                  <c:v>1022</c:v>
                </c:pt>
                <c:pt idx="479">
                  <c:v>1021</c:v>
                </c:pt>
                <c:pt idx="480">
                  <c:v>1020</c:v>
                </c:pt>
                <c:pt idx="481">
                  <c:v>1019</c:v>
                </c:pt>
                <c:pt idx="482">
                  <c:v>1018</c:v>
                </c:pt>
                <c:pt idx="483">
                  <c:v>1017</c:v>
                </c:pt>
                <c:pt idx="484">
                  <c:v>1016</c:v>
                </c:pt>
                <c:pt idx="485">
                  <c:v>1015</c:v>
                </c:pt>
                <c:pt idx="486">
                  <c:v>1014</c:v>
                </c:pt>
                <c:pt idx="487">
                  <c:v>1013</c:v>
                </c:pt>
                <c:pt idx="488">
                  <c:v>1012</c:v>
                </c:pt>
                <c:pt idx="489">
                  <c:v>1011</c:v>
                </c:pt>
                <c:pt idx="490">
                  <c:v>1010</c:v>
                </c:pt>
                <c:pt idx="491">
                  <c:v>1009</c:v>
                </c:pt>
                <c:pt idx="492">
                  <c:v>1008</c:v>
                </c:pt>
                <c:pt idx="493">
                  <c:v>1007</c:v>
                </c:pt>
                <c:pt idx="494">
                  <c:v>1006</c:v>
                </c:pt>
                <c:pt idx="495">
                  <c:v>1005</c:v>
                </c:pt>
                <c:pt idx="496">
                  <c:v>1004</c:v>
                </c:pt>
                <c:pt idx="497">
                  <c:v>1003</c:v>
                </c:pt>
                <c:pt idx="498">
                  <c:v>1002</c:v>
                </c:pt>
                <c:pt idx="499">
                  <c:v>1001</c:v>
                </c:pt>
                <c:pt idx="500">
                  <c:v>1000</c:v>
                </c:pt>
                <c:pt idx="501">
                  <c:v>999</c:v>
                </c:pt>
                <c:pt idx="502">
                  <c:v>998</c:v>
                </c:pt>
                <c:pt idx="503">
                  <c:v>997</c:v>
                </c:pt>
                <c:pt idx="504">
                  <c:v>996</c:v>
                </c:pt>
                <c:pt idx="505">
                  <c:v>995</c:v>
                </c:pt>
                <c:pt idx="506">
                  <c:v>994</c:v>
                </c:pt>
                <c:pt idx="507">
                  <c:v>993</c:v>
                </c:pt>
                <c:pt idx="508">
                  <c:v>992</c:v>
                </c:pt>
                <c:pt idx="509">
                  <c:v>991</c:v>
                </c:pt>
                <c:pt idx="510">
                  <c:v>990</c:v>
                </c:pt>
                <c:pt idx="511">
                  <c:v>989</c:v>
                </c:pt>
                <c:pt idx="512">
                  <c:v>988</c:v>
                </c:pt>
                <c:pt idx="513">
                  <c:v>987</c:v>
                </c:pt>
                <c:pt idx="514">
                  <c:v>986</c:v>
                </c:pt>
                <c:pt idx="515">
                  <c:v>985</c:v>
                </c:pt>
                <c:pt idx="516">
                  <c:v>984</c:v>
                </c:pt>
                <c:pt idx="517">
                  <c:v>983</c:v>
                </c:pt>
                <c:pt idx="518">
                  <c:v>982</c:v>
                </c:pt>
                <c:pt idx="519">
                  <c:v>981</c:v>
                </c:pt>
                <c:pt idx="520">
                  <c:v>980</c:v>
                </c:pt>
                <c:pt idx="521">
                  <c:v>979</c:v>
                </c:pt>
                <c:pt idx="522">
                  <c:v>978</c:v>
                </c:pt>
                <c:pt idx="523">
                  <c:v>977</c:v>
                </c:pt>
                <c:pt idx="524">
                  <c:v>976</c:v>
                </c:pt>
                <c:pt idx="525">
                  <c:v>975</c:v>
                </c:pt>
                <c:pt idx="526">
                  <c:v>974</c:v>
                </c:pt>
                <c:pt idx="527">
                  <c:v>973</c:v>
                </c:pt>
                <c:pt idx="528">
                  <c:v>972</c:v>
                </c:pt>
                <c:pt idx="529">
                  <c:v>971</c:v>
                </c:pt>
                <c:pt idx="530">
                  <c:v>970</c:v>
                </c:pt>
                <c:pt idx="531">
                  <c:v>969</c:v>
                </c:pt>
                <c:pt idx="532">
                  <c:v>968</c:v>
                </c:pt>
                <c:pt idx="533">
                  <c:v>967</c:v>
                </c:pt>
                <c:pt idx="534">
                  <c:v>966</c:v>
                </c:pt>
                <c:pt idx="535">
                  <c:v>965</c:v>
                </c:pt>
                <c:pt idx="536">
                  <c:v>964</c:v>
                </c:pt>
                <c:pt idx="537">
                  <c:v>963</c:v>
                </c:pt>
                <c:pt idx="538">
                  <c:v>962</c:v>
                </c:pt>
                <c:pt idx="539">
                  <c:v>961</c:v>
                </c:pt>
                <c:pt idx="540">
                  <c:v>960</c:v>
                </c:pt>
                <c:pt idx="541">
                  <c:v>959</c:v>
                </c:pt>
                <c:pt idx="542">
                  <c:v>958</c:v>
                </c:pt>
                <c:pt idx="543">
                  <c:v>957</c:v>
                </c:pt>
                <c:pt idx="544">
                  <c:v>956</c:v>
                </c:pt>
                <c:pt idx="545">
                  <c:v>955</c:v>
                </c:pt>
                <c:pt idx="546">
                  <c:v>954</c:v>
                </c:pt>
                <c:pt idx="547">
                  <c:v>953</c:v>
                </c:pt>
                <c:pt idx="548">
                  <c:v>952</c:v>
                </c:pt>
                <c:pt idx="549">
                  <c:v>951</c:v>
                </c:pt>
                <c:pt idx="550">
                  <c:v>950</c:v>
                </c:pt>
                <c:pt idx="551">
                  <c:v>949</c:v>
                </c:pt>
                <c:pt idx="552">
                  <c:v>948</c:v>
                </c:pt>
                <c:pt idx="553">
                  <c:v>947</c:v>
                </c:pt>
                <c:pt idx="554">
                  <c:v>946</c:v>
                </c:pt>
                <c:pt idx="555">
                  <c:v>945</c:v>
                </c:pt>
                <c:pt idx="556">
                  <c:v>944</c:v>
                </c:pt>
                <c:pt idx="557">
                  <c:v>943</c:v>
                </c:pt>
                <c:pt idx="558">
                  <c:v>942</c:v>
                </c:pt>
                <c:pt idx="559">
                  <c:v>941</c:v>
                </c:pt>
                <c:pt idx="560">
                  <c:v>940</c:v>
                </c:pt>
                <c:pt idx="561">
                  <c:v>939</c:v>
                </c:pt>
                <c:pt idx="562">
                  <c:v>938</c:v>
                </c:pt>
                <c:pt idx="563">
                  <c:v>937</c:v>
                </c:pt>
                <c:pt idx="564">
                  <c:v>936</c:v>
                </c:pt>
                <c:pt idx="565">
                  <c:v>935</c:v>
                </c:pt>
                <c:pt idx="566">
                  <c:v>934</c:v>
                </c:pt>
                <c:pt idx="567">
                  <c:v>933</c:v>
                </c:pt>
                <c:pt idx="568">
                  <c:v>932</c:v>
                </c:pt>
                <c:pt idx="569">
                  <c:v>931</c:v>
                </c:pt>
                <c:pt idx="570">
                  <c:v>930</c:v>
                </c:pt>
                <c:pt idx="571">
                  <c:v>929</c:v>
                </c:pt>
                <c:pt idx="572">
                  <c:v>928</c:v>
                </c:pt>
                <c:pt idx="573">
                  <c:v>927</c:v>
                </c:pt>
                <c:pt idx="574">
                  <c:v>926</c:v>
                </c:pt>
                <c:pt idx="575">
                  <c:v>925</c:v>
                </c:pt>
                <c:pt idx="576">
                  <c:v>924</c:v>
                </c:pt>
                <c:pt idx="577">
                  <c:v>923</c:v>
                </c:pt>
                <c:pt idx="578">
                  <c:v>922</c:v>
                </c:pt>
                <c:pt idx="579">
                  <c:v>921</c:v>
                </c:pt>
                <c:pt idx="580">
                  <c:v>920</c:v>
                </c:pt>
                <c:pt idx="581">
                  <c:v>919</c:v>
                </c:pt>
                <c:pt idx="582">
                  <c:v>918</c:v>
                </c:pt>
                <c:pt idx="583">
                  <c:v>917</c:v>
                </c:pt>
                <c:pt idx="584">
                  <c:v>916</c:v>
                </c:pt>
                <c:pt idx="585">
                  <c:v>915</c:v>
                </c:pt>
                <c:pt idx="586">
                  <c:v>914</c:v>
                </c:pt>
                <c:pt idx="587">
                  <c:v>913</c:v>
                </c:pt>
                <c:pt idx="588">
                  <c:v>912</c:v>
                </c:pt>
                <c:pt idx="589">
                  <c:v>911</c:v>
                </c:pt>
                <c:pt idx="590">
                  <c:v>910</c:v>
                </c:pt>
                <c:pt idx="591">
                  <c:v>909</c:v>
                </c:pt>
                <c:pt idx="592">
                  <c:v>908</c:v>
                </c:pt>
                <c:pt idx="593">
                  <c:v>907</c:v>
                </c:pt>
                <c:pt idx="594">
                  <c:v>906</c:v>
                </c:pt>
                <c:pt idx="595">
                  <c:v>905</c:v>
                </c:pt>
                <c:pt idx="596">
                  <c:v>904</c:v>
                </c:pt>
                <c:pt idx="597">
                  <c:v>903</c:v>
                </c:pt>
                <c:pt idx="598">
                  <c:v>902</c:v>
                </c:pt>
                <c:pt idx="599">
                  <c:v>901</c:v>
                </c:pt>
                <c:pt idx="600">
                  <c:v>900</c:v>
                </c:pt>
                <c:pt idx="601">
                  <c:v>899</c:v>
                </c:pt>
                <c:pt idx="602">
                  <c:v>898</c:v>
                </c:pt>
                <c:pt idx="603">
                  <c:v>897</c:v>
                </c:pt>
                <c:pt idx="604">
                  <c:v>896</c:v>
                </c:pt>
                <c:pt idx="605">
                  <c:v>895</c:v>
                </c:pt>
                <c:pt idx="606">
                  <c:v>894</c:v>
                </c:pt>
                <c:pt idx="607">
                  <c:v>893</c:v>
                </c:pt>
                <c:pt idx="608">
                  <c:v>892</c:v>
                </c:pt>
                <c:pt idx="609">
                  <c:v>891</c:v>
                </c:pt>
                <c:pt idx="610">
                  <c:v>890</c:v>
                </c:pt>
                <c:pt idx="611">
                  <c:v>889</c:v>
                </c:pt>
                <c:pt idx="612">
                  <c:v>888</c:v>
                </c:pt>
                <c:pt idx="613">
                  <c:v>887</c:v>
                </c:pt>
                <c:pt idx="614">
                  <c:v>886</c:v>
                </c:pt>
                <c:pt idx="615">
                  <c:v>885</c:v>
                </c:pt>
                <c:pt idx="616">
                  <c:v>884</c:v>
                </c:pt>
                <c:pt idx="617">
                  <c:v>883</c:v>
                </c:pt>
                <c:pt idx="618">
                  <c:v>882</c:v>
                </c:pt>
                <c:pt idx="619">
                  <c:v>881</c:v>
                </c:pt>
                <c:pt idx="620">
                  <c:v>880</c:v>
                </c:pt>
                <c:pt idx="621">
                  <c:v>879</c:v>
                </c:pt>
                <c:pt idx="622">
                  <c:v>878</c:v>
                </c:pt>
                <c:pt idx="623">
                  <c:v>877</c:v>
                </c:pt>
                <c:pt idx="624">
                  <c:v>876</c:v>
                </c:pt>
                <c:pt idx="625">
                  <c:v>875</c:v>
                </c:pt>
                <c:pt idx="626">
                  <c:v>874</c:v>
                </c:pt>
                <c:pt idx="627">
                  <c:v>873</c:v>
                </c:pt>
                <c:pt idx="628">
                  <c:v>872</c:v>
                </c:pt>
                <c:pt idx="629">
                  <c:v>871</c:v>
                </c:pt>
                <c:pt idx="630">
                  <c:v>870</c:v>
                </c:pt>
                <c:pt idx="631">
                  <c:v>869</c:v>
                </c:pt>
                <c:pt idx="632">
                  <c:v>868</c:v>
                </c:pt>
                <c:pt idx="633">
                  <c:v>867</c:v>
                </c:pt>
                <c:pt idx="634">
                  <c:v>866</c:v>
                </c:pt>
                <c:pt idx="635">
                  <c:v>865</c:v>
                </c:pt>
                <c:pt idx="636">
                  <c:v>864</c:v>
                </c:pt>
                <c:pt idx="637">
                  <c:v>863</c:v>
                </c:pt>
                <c:pt idx="638">
                  <c:v>862</c:v>
                </c:pt>
                <c:pt idx="639">
                  <c:v>861</c:v>
                </c:pt>
                <c:pt idx="640">
                  <c:v>860</c:v>
                </c:pt>
                <c:pt idx="641">
                  <c:v>859</c:v>
                </c:pt>
                <c:pt idx="642">
                  <c:v>858</c:v>
                </c:pt>
                <c:pt idx="643">
                  <c:v>857</c:v>
                </c:pt>
                <c:pt idx="644">
                  <c:v>856</c:v>
                </c:pt>
                <c:pt idx="645">
                  <c:v>855</c:v>
                </c:pt>
                <c:pt idx="646">
                  <c:v>854</c:v>
                </c:pt>
                <c:pt idx="647">
                  <c:v>853</c:v>
                </c:pt>
                <c:pt idx="648">
                  <c:v>852</c:v>
                </c:pt>
                <c:pt idx="649">
                  <c:v>851</c:v>
                </c:pt>
                <c:pt idx="650">
                  <c:v>850</c:v>
                </c:pt>
                <c:pt idx="651">
                  <c:v>849</c:v>
                </c:pt>
                <c:pt idx="652">
                  <c:v>848</c:v>
                </c:pt>
                <c:pt idx="653">
                  <c:v>847</c:v>
                </c:pt>
                <c:pt idx="654">
                  <c:v>846</c:v>
                </c:pt>
                <c:pt idx="655">
                  <c:v>845</c:v>
                </c:pt>
                <c:pt idx="656">
                  <c:v>844</c:v>
                </c:pt>
                <c:pt idx="657">
                  <c:v>843</c:v>
                </c:pt>
                <c:pt idx="658">
                  <c:v>842</c:v>
                </c:pt>
                <c:pt idx="659">
                  <c:v>841</c:v>
                </c:pt>
                <c:pt idx="660">
                  <c:v>840</c:v>
                </c:pt>
                <c:pt idx="661">
                  <c:v>839</c:v>
                </c:pt>
                <c:pt idx="662">
                  <c:v>838</c:v>
                </c:pt>
                <c:pt idx="663">
                  <c:v>837</c:v>
                </c:pt>
                <c:pt idx="664">
                  <c:v>836</c:v>
                </c:pt>
                <c:pt idx="665">
                  <c:v>835</c:v>
                </c:pt>
                <c:pt idx="666">
                  <c:v>834</c:v>
                </c:pt>
                <c:pt idx="667">
                  <c:v>833</c:v>
                </c:pt>
                <c:pt idx="668">
                  <c:v>832</c:v>
                </c:pt>
                <c:pt idx="669">
                  <c:v>831</c:v>
                </c:pt>
                <c:pt idx="670">
                  <c:v>830</c:v>
                </c:pt>
                <c:pt idx="671">
                  <c:v>829</c:v>
                </c:pt>
                <c:pt idx="672">
                  <c:v>828</c:v>
                </c:pt>
                <c:pt idx="673">
                  <c:v>827</c:v>
                </c:pt>
                <c:pt idx="674">
                  <c:v>826</c:v>
                </c:pt>
                <c:pt idx="675">
                  <c:v>825</c:v>
                </c:pt>
                <c:pt idx="676">
                  <c:v>824</c:v>
                </c:pt>
                <c:pt idx="677">
                  <c:v>823</c:v>
                </c:pt>
                <c:pt idx="678">
                  <c:v>822</c:v>
                </c:pt>
                <c:pt idx="679">
                  <c:v>821</c:v>
                </c:pt>
                <c:pt idx="680">
                  <c:v>820</c:v>
                </c:pt>
                <c:pt idx="681">
                  <c:v>819</c:v>
                </c:pt>
                <c:pt idx="682">
                  <c:v>818</c:v>
                </c:pt>
                <c:pt idx="683">
                  <c:v>817</c:v>
                </c:pt>
                <c:pt idx="684">
                  <c:v>816</c:v>
                </c:pt>
                <c:pt idx="685">
                  <c:v>815</c:v>
                </c:pt>
                <c:pt idx="686">
                  <c:v>814</c:v>
                </c:pt>
                <c:pt idx="687">
                  <c:v>813</c:v>
                </c:pt>
                <c:pt idx="688">
                  <c:v>812</c:v>
                </c:pt>
                <c:pt idx="689">
                  <c:v>811</c:v>
                </c:pt>
                <c:pt idx="690">
                  <c:v>810</c:v>
                </c:pt>
                <c:pt idx="691">
                  <c:v>809</c:v>
                </c:pt>
                <c:pt idx="692">
                  <c:v>808</c:v>
                </c:pt>
                <c:pt idx="693">
                  <c:v>807</c:v>
                </c:pt>
                <c:pt idx="694">
                  <c:v>806</c:v>
                </c:pt>
                <c:pt idx="695">
                  <c:v>805</c:v>
                </c:pt>
                <c:pt idx="696">
                  <c:v>804</c:v>
                </c:pt>
                <c:pt idx="697">
                  <c:v>803</c:v>
                </c:pt>
                <c:pt idx="698">
                  <c:v>802</c:v>
                </c:pt>
                <c:pt idx="699">
                  <c:v>801</c:v>
                </c:pt>
                <c:pt idx="700">
                  <c:v>800</c:v>
                </c:pt>
                <c:pt idx="701">
                  <c:v>799</c:v>
                </c:pt>
                <c:pt idx="702">
                  <c:v>798</c:v>
                </c:pt>
                <c:pt idx="703">
                  <c:v>797</c:v>
                </c:pt>
                <c:pt idx="704">
                  <c:v>796</c:v>
                </c:pt>
                <c:pt idx="705">
                  <c:v>795</c:v>
                </c:pt>
                <c:pt idx="706">
                  <c:v>794</c:v>
                </c:pt>
                <c:pt idx="707">
                  <c:v>793</c:v>
                </c:pt>
                <c:pt idx="708">
                  <c:v>792</c:v>
                </c:pt>
                <c:pt idx="709">
                  <c:v>791</c:v>
                </c:pt>
                <c:pt idx="710">
                  <c:v>790</c:v>
                </c:pt>
                <c:pt idx="711">
                  <c:v>789</c:v>
                </c:pt>
                <c:pt idx="712">
                  <c:v>788</c:v>
                </c:pt>
                <c:pt idx="713">
                  <c:v>787</c:v>
                </c:pt>
                <c:pt idx="714">
                  <c:v>786</c:v>
                </c:pt>
                <c:pt idx="715">
                  <c:v>785</c:v>
                </c:pt>
                <c:pt idx="716">
                  <c:v>784</c:v>
                </c:pt>
                <c:pt idx="717">
                  <c:v>783</c:v>
                </c:pt>
                <c:pt idx="718">
                  <c:v>782</c:v>
                </c:pt>
                <c:pt idx="719">
                  <c:v>781</c:v>
                </c:pt>
                <c:pt idx="720">
                  <c:v>780</c:v>
                </c:pt>
                <c:pt idx="721">
                  <c:v>779</c:v>
                </c:pt>
                <c:pt idx="722">
                  <c:v>778</c:v>
                </c:pt>
                <c:pt idx="723">
                  <c:v>777</c:v>
                </c:pt>
                <c:pt idx="724">
                  <c:v>776</c:v>
                </c:pt>
                <c:pt idx="725">
                  <c:v>775</c:v>
                </c:pt>
                <c:pt idx="726">
                  <c:v>774</c:v>
                </c:pt>
                <c:pt idx="727">
                  <c:v>773</c:v>
                </c:pt>
                <c:pt idx="728">
                  <c:v>772</c:v>
                </c:pt>
                <c:pt idx="729">
                  <c:v>771</c:v>
                </c:pt>
                <c:pt idx="730">
                  <c:v>770</c:v>
                </c:pt>
                <c:pt idx="731">
                  <c:v>769</c:v>
                </c:pt>
                <c:pt idx="732">
                  <c:v>768</c:v>
                </c:pt>
                <c:pt idx="733">
                  <c:v>767</c:v>
                </c:pt>
                <c:pt idx="734">
                  <c:v>766</c:v>
                </c:pt>
                <c:pt idx="735">
                  <c:v>765</c:v>
                </c:pt>
                <c:pt idx="736">
                  <c:v>764</c:v>
                </c:pt>
                <c:pt idx="737">
                  <c:v>763</c:v>
                </c:pt>
                <c:pt idx="738">
                  <c:v>762</c:v>
                </c:pt>
                <c:pt idx="739">
                  <c:v>761</c:v>
                </c:pt>
                <c:pt idx="740">
                  <c:v>760</c:v>
                </c:pt>
                <c:pt idx="741">
                  <c:v>759</c:v>
                </c:pt>
                <c:pt idx="742">
                  <c:v>758</c:v>
                </c:pt>
                <c:pt idx="743">
                  <c:v>757</c:v>
                </c:pt>
                <c:pt idx="744">
                  <c:v>756</c:v>
                </c:pt>
                <c:pt idx="745">
                  <c:v>755</c:v>
                </c:pt>
                <c:pt idx="746">
                  <c:v>754</c:v>
                </c:pt>
                <c:pt idx="747">
                  <c:v>753</c:v>
                </c:pt>
                <c:pt idx="748">
                  <c:v>752</c:v>
                </c:pt>
                <c:pt idx="749">
                  <c:v>751</c:v>
                </c:pt>
                <c:pt idx="750">
                  <c:v>750</c:v>
                </c:pt>
                <c:pt idx="751">
                  <c:v>749</c:v>
                </c:pt>
                <c:pt idx="752">
                  <c:v>748</c:v>
                </c:pt>
                <c:pt idx="753">
                  <c:v>747</c:v>
                </c:pt>
                <c:pt idx="754">
                  <c:v>746</c:v>
                </c:pt>
                <c:pt idx="755">
                  <c:v>745</c:v>
                </c:pt>
                <c:pt idx="756">
                  <c:v>744</c:v>
                </c:pt>
                <c:pt idx="757">
                  <c:v>743</c:v>
                </c:pt>
                <c:pt idx="758">
                  <c:v>742</c:v>
                </c:pt>
                <c:pt idx="759">
                  <c:v>741</c:v>
                </c:pt>
                <c:pt idx="760">
                  <c:v>740</c:v>
                </c:pt>
                <c:pt idx="761">
                  <c:v>739</c:v>
                </c:pt>
                <c:pt idx="762">
                  <c:v>738</c:v>
                </c:pt>
                <c:pt idx="763">
                  <c:v>737</c:v>
                </c:pt>
                <c:pt idx="764">
                  <c:v>736</c:v>
                </c:pt>
                <c:pt idx="765">
                  <c:v>735</c:v>
                </c:pt>
                <c:pt idx="766">
                  <c:v>734</c:v>
                </c:pt>
                <c:pt idx="767">
                  <c:v>733</c:v>
                </c:pt>
                <c:pt idx="768">
                  <c:v>732</c:v>
                </c:pt>
                <c:pt idx="769">
                  <c:v>731</c:v>
                </c:pt>
                <c:pt idx="770">
                  <c:v>730</c:v>
                </c:pt>
                <c:pt idx="771">
                  <c:v>729</c:v>
                </c:pt>
                <c:pt idx="772">
                  <c:v>728</c:v>
                </c:pt>
                <c:pt idx="773">
                  <c:v>727</c:v>
                </c:pt>
                <c:pt idx="774">
                  <c:v>726</c:v>
                </c:pt>
                <c:pt idx="775">
                  <c:v>725</c:v>
                </c:pt>
                <c:pt idx="776">
                  <c:v>724</c:v>
                </c:pt>
                <c:pt idx="777">
                  <c:v>723</c:v>
                </c:pt>
                <c:pt idx="778">
                  <c:v>722</c:v>
                </c:pt>
                <c:pt idx="779">
                  <c:v>721</c:v>
                </c:pt>
                <c:pt idx="780">
                  <c:v>720</c:v>
                </c:pt>
                <c:pt idx="781">
                  <c:v>719</c:v>
                </c:pt>
                <c:pt idx="782">
                  <c:v>718</c:v>
                </c:pt>
                <c:pt idx="783">
                  <c:v>717</c:v>
                </c:pt>
                <c:pt idx="784">
                  <c:v>716</c:v>
                </c:pt>
                <c:pt idx="785">
                  <c:v>715</c:v>
                </c:pt>
                <c:pt idx="786">
                  <c:v>714</c:v>
                </c:pt>
                <c:pt idx="787">
                  <c:v>713</c:v>
                </c:pt>
                <c:pt idx="788">
                  <c:v>712</c:v>
                </c:pt>
                <c:pt idx="789">
                  <c:v>711</c:v>
                </c:pt>
                <c:pt idx="790">
                  <c:v>710</c:v>
                </c:pt>
                <c:pt idx="791">
                  <c:v>709</c:v>
                </c:pt>
                <c:pt idx="792">
                  <c:v>708</c:v>
                </c:pt>
                <c:pt idx="793">
                  <c:v>707</c:v>
                </c:pt>
                <c:pt idx="794">
                  <c:v>706</c:v>
                </c:pt>
                <c:pt idx="795">
                  <c:v>705</c:v>
                </c:pt>
                <c:pt idx="796">
                  <c:v>704</c:v>
                </c:pt>
                <c:pt idx="797">
                  <c:v>703</c:v>
                </c:pt>
                <c:pt idx="798">
                  <c:v>702</c:v>
                </c:pt>
                <c:pt idx="799">
                  <c:v>701</c:v>
                </c:pt>
                <c:pt idx="800">
                  <c:v>700</c:v>
                </c:pt>
                <c:pt idx="801">
                  <c:v>699</c:v>
                </c:pt>
                <c:pt idx="802">
                  <c:v>698</c:v>
                </c:pt>
                <c:pt idx="803">
                  <c:v>697</c:v>
                </c:pt>
                <c:pt idx="804">
                  <c:v>696</c:v>
                </c:pt>
                <c:pt idx="805">
                  <c:v>695</c:v>
                </c:pt>
                <c:pt idx="806">
                  <c:v>694</c:v>
                </c:pt>
                <c:pt idx="807">
                  <c:v>693</c:v>
                </c:pt>
                <c:pt idx="808">
                  <c:v>692</c:v>
                </c:pt>
                <c:pt idx="809">
                  <c:v>691</c:v>
                </c:pt>
                <c:pt idx="810">
                  <c:v>690</c:v>
                </c:pt>
                <c:pt idx="811">
                  <c:v>689</c:v>
                </c:pt>
                <c:pt idx="812">
                  <c:v>688</c:v>
                </c:pt>
                <c:pt idx="813">
                  <c:v>687</c:v>
                </c:pt>
                <c:pt idx="814">
                  <c:v>686</c:v>
                </c:pt>
                <c:pt idx="815">
                  <c:v>685</c:v>
                </c:pt>
                <c:pt idx="816">
                  <c:v>684</c:v>
                </c:pt>
                <c:pt idx="817">
                  <c:v>683</c:v>
                </c:pt>
                <c:pt idx="818">
                  <c:v>682</c:v>
                </c:pt>
                <c:pt idx="819">
                  <c:v>681</c:v>
                </c:pt>
                <c:pt idx="820">
                  <c:v>680</c:v>
                </c:pt>
                <c:pt idx="821">
                  <c:v>679</c:v>
                </c:pt>
                <c:pt idx="822">
                  <c:v>678</c:v>
                </c:pt>
                <c:pt idx="823">
                  <c:v>677</c:v>
                </c:pt>
                <c:pt idx="824">
                  <c:v>676</c:v>
                </c:pt>
                <c:pt idx="825">
                  <c:v>675</c:v>
                </c:pt>
                <c:pt idx="826">
                  <c:v>674</c:v>
                </c:pt>
                <c:pt idx="827">
                  <c:v>673</c:v>
                </c:pt>
                <c:pt idx="828">
                  <c:v>672</c:v>
                </c:pt>
                <c:pt idx="829">
                  <c:v>671</c:v>
                </c:pt>
                <c:pt idx="830">
                  <c:v>670</c:v>
                </c:pt>
                <c:pt idx="831">
                  <c:v>669</c:v>
                </c:pt>
                <c:pt idx="832">
                  <c:v>668</c:v>
                </c:pt>
                <c:pt idx="833">
                  <c:v>667</c:v>
                </c:pt>
                <c:pt idx="834">
                  <c:v>666</c:v>
                </c:pt>
                <c:pt idx="835">
                  <c:v>665</c:v>
                </c:pt>
                <c:pt idx="836">
                  <c:v>664</c:v>
                </c:pt>
                <c:pt idx="837">
                  <c:v>663</c:v>
                </c:pt>
                <c:pt idx="838">
                  <c:v>662</c:v>
                </c:pt>
                <c:pt idx="839">
                  <c:v>661</c:v>
                </c:pt>
                <c:pt idx="840">
                  <c:v>660</c:v>
                </c:pt>
                <c:pt idx="841">
                  <c:v>659</c:v>
                </c:pt>
                <c:pt idx="842">
                  <c:v>658</c:v>
                </c:pt>
                <c:pt idx="843">
                  <c:v>657</c:v>
                </c:pt>
                <c:pt idx="844">
                  <c:v>656</c:v>
                </c:pt>
                <c:pt idx="845">
                  <c:v>655</c:v>
                </c:pt>
                <c:pt idx="846">
                  <c:v>654</c:v>
                </c:pt>
                <c:pt idx="847">
                  <c:v>653</c:v>
                </c:pt>
                <c:pt idx="848">
                  <c:v>652</c:v>
                </c:pt>
                <c:pt idx="849">
                  <c:v>651</c:v>
                </c:pt>
                <c:pt idx="850">
                  <c:v>650</c:v>
                </c:pt>
                <c:pt idx="851">
                  <c:v>649</c:v>
                </c:pt>
                <c:pt idx="852">
                  <c:v>648</c:v>
                </c:pt>
                <c:pt idx="853">
                  <c:v>647</c:v>
                </c:pt>
                <c:pt idx="854">
                  <c:v>646</c:v>
                </c:pt>
                <c:pt idx="855">
                  <c:v>645</c:v>
                </c:pt>
                <c:pt idx="856">
                  <c:v>644</c:v>
                </c:pt>
                <c:pt idx="857">
                  <c:v>643</c:v>
                </c:pt>
                <c:pt idx="858">
                  <c:v>642</c:v>
                </c:pt>
                <c:pt idx="859">
                  <c:v>641</c:v>
                </c:pt>
                <c:pt idx="860">
                  <c:v>640</c:v>
                </c:pt>
                <c:pt idx="861">
                  <c:v>639</c:v>
                </c:pt>
                <c:pt idx="862">
                  <c:v>638</c:v>
                </c:pt>
                <c:pt idx="863">
                  <c:v>637</c:v>
                </c:pt>
                <c:pt idx="864">
                  <c:v>636</c:v>
                </c:pt>
                <c:pt idx="865">
                  <c:v>635</c:v>
                </c:pt>
                <c:pt idx="866">
                  <c:v>634</c:v>
                </c:pt>
                <c:pt idx="867">
                  <c:v>633</c:v>
                </c:pt>
                <c:pt idx="868">
                  <c:v>632</c:v>
                </c:pt>
                <c:pt idx="869">
                  <c:v>631</c:v>
                </c:pt>
                <c:pt idx="870">
                  <c:v>630</c:v>
                </c:pt>
                <c:pt idx="871">
                  <c:v>629</c:v>
                </c:pt>
                <c:pt idx="872">
                  <c:v>628</c:v>
                </c:pt>
                <c:pt idx="873">
                  <c:v>627</c:v>
                </c:pt>
                <c:pt idx="874">
                  <c:v>626</c:v>
                </c:pt>
                <c:pt idx="875">
                  <c:v>625</c:v>
                </c:pt>
                <c:pt idx="876">
                  <c:v>624</c:v>
                </c:pt>
                <c:pt idx="877">
                  <c:v>623</c:v>
                </c:pt>
                <c:pt idx="878">
                  <c:v>622</c:v>
                </c:pt>
                <c:pt idx="879">
                  <c:v>621</c:v>
                </c:pt>
                <c:pt idx="880">
                  <c:v>620</c:v>
                </c:pt>
                <c:pt idx="881">
                  <c:v>619</c:v>
                </c:pt>
                <c:pt idx="882">
                  <c:v>618</c:v>
                </c:pt>
                <c:pt idx="883">
                  <c:v>617</c:v>
                </c:pt>
                <c:pt idx="884">
                  <c:v>616</c:v>
                </c:pt>
                <c:pt idx="885">
                  <c:v>615</c:v>
                </c:pt>
                <c:pt idx="886">
                  <c:v>614</c:v>
                </c:pt>
                <c:pt idx="887">
                  <c:v>613</c:v>
                </c:pt>
                <c:pt idx="888">
                  <c:v>612</c:v>
                </c:pt>
                <c:pt idx="889">
                  <c:v>611</c:v>
                </c:pt>
                <c:pt idx="890">
                  <c:v>610</c:v>
                </c:pt>
                <c:pt idx="891">
                  <c:v>609</c:v>
                </c:pt>
                <c:pt idx="892">
                  <c:v>608</c:v>
                </c:pt>
                <c:pt idx="893">
                  <c:v>607</c:v>
                </c:pt>
                <c:pt idx="894">
                  <c:v>606</c:v>
                </c:pt>
                <c:pt idx="895">
                  <c:v>605</c:v>
                </c:pt>
                <c:pt idx="896">
                  <c:v>604</c:v>
                </c:pt>
                <c:pt idx="897">
                  <c:v>603</c:v>
                </c:pt>
                <c:pt idx="898">
                  <c:v>602</c:v>
                </c:pt>
                <c:pt idx="899">
                  <c:v>601</c:v>
                </c:pt>
                <c:pt idx="900">
                  <c:v>600</c:v>
                </c:pt>
                <c:pt idx="901">
                  <c:v>599</c:v>
                </c:pt>
                <c:pt idx="902">
                  <c:v>598</c:v>
                </c:pt>
                <c:pt idx="903">
                  <c:v>597</c:v>
                </c:pt>
                <c:pt idx="904">
                  <c:v>596</c:v>
                </c:pt>
                <c:pt idx="905">
                  <c:v>595</c:v>
                </c:pt>
                <c:pt idx="906">
                  <c:v>594</c:v>
                </c:pt>
                <c:pt idx="907">
                  <c:v>593</c:v>
                </c:pt>
                <c:pt idx="908">
                  <c:v>592</c:v>
                </c:pt>
                <c:pt idx="909">
                  <c:v>591</c:v>
                </c:pt>
                <c:pt idx="910">
                  <c:v>590</c:v>
                </c:pt>
                <c:pt idx="911">
                  <c:v>589</c:v>
                </c:pt>
                <c:pt idx="912">
                  <c:v>588</c:v>
                </c:pt>
                <c:pt idx="913">
                  <c:v>587</c:v>
                </c:pt>
                <c:pt idx="914">
                  <c:v>586</c:v>
                </c:pt>
                <c:pt idx="915">
                  <c:v>585</c:v>
                </c:pt>
                <c:pt idx="916">
                  <c:v>584</c:v>
                </c:pt>
                <c:pt idx="917">
                  <c:v>583</c:v>
                </c:pt>
                <c:pt idx="918">
                  <c:v>582</c:v>
                </c:pt>
                <c:pt idx="919">
                  <c:v>581</c:v>
                </c:pt>
                <c:pt idx="920">
                  <c:v>580</c:v>
                </c:pt>
                <c:pt idx="921">
                  <c:v>579</c:v>
                </c:pt>
                <c:pt idx="922">
                  <c:v>578</c:v>
                </c:pt>
                <c:pt idx="923">
                  <c:v>577</c:v>
                </c:pt>
                <c:pt idx="924">
                  <c:v>576</c:v>
                </c:pt>
                <c:pt idx="925">
                  <c:v>575</c:v>
                </c:pt>
                <c:pt idx="926">
                  <c:v>574</c:v>
                </c:pt>
                <c:pt idx="927">
                  <c:v>573</c:v>
                </c:pt>
                <c:pt idx="928">
                  <c:v>572</c:v>
                </c:pt>
                <c:pt idx="929">
                  <c:v>571</c:v>
                </c:pt>
                <c:pt idx="930">
                  <c:v>570</c:v>
                </c:pt>
                <c:pt idx="931">
                  <c:v>569</c:v>
                </c:pt>
                <c:pt idx="932">
                  <c:v>568</c:v>
                </c:pt>
                <c:pt idx="933">
                  <c:v>567</c:v>
                </c:pt>
                <c:pt idx="934">
                  <c:v>566</c:v>
                </c:pt>
                <c:pt idx="935">
                  <c:v>565</c:v>
                </c:pt>
                <c:pt idx="936">
                  <c:v>564</c:v>
                </c:pt>
                <c:pt idx="937">
                  <c:v>563</c:v>
                </c:pt>
                <c:pt idx="938">
                  <c:v>562</c:v>
                </c:pt>
                <c:pt idx="939">
                  <c:v>561</c:v>
                </c:pt>
                <c:pt idx="940">
                  <c:v>560</c:v>
                </c:pt>
                <c:pt idx="941">
                  <c:v>559</c:v>
                </c:pt>
                <c:pt idx="942">
                  <c:v>558</c:v>
                </c:pt>
                <c:pt idx="943">
                  <c:v>557</c:v>
                </c:pt>
                <c:pt idx="944">
                  <c:v>556</c:v>
                </c:pt>
                <c:pt idx="945">
                  <c:v>555</c:v>
                </c:pt>
                <c:pt idx="946">
                  <c:v>554</c:v>
                </c:pt>
                <c:pt idx="947">
                  <c:v>553</c:v>
                </c:pt>
                <c:pt idx="948">
                  <c:v>552</c:v>
                </c:pt>
                <c:pt idx="949">
                  <c:v>551</c:v>
                </c:pt>
                <c:pt idx="950">
                  <c:v>550</c:v>
                </c:pt>
                <c:pt idx="951">
                  <c:v>549</c:v>
                </c:pt>
                <c:pt idx="952">
                  <c:v>548</c:v>
                </c:pt>
                <c:pt idx="953">
                  <c:v>547</c:v>
                </c:pt>
                <c:pt idx="954">
                  <c:v>546</c:v>
                </c:pt>
                <c:pt idx="955">
                  <c:v>545</c:v>
                </c:pt>
                <c:pt idx="956">
                  <c:v>544</c:v>
                </c:pt>
                <c:pt idx="957">
                  <c:v>543</c:v>
                </c:pt>
                <c:pt idx="958">
                  <c:v>542</c:v>
                </c:pt>
                <c:pt idx="959">
                  <c:v>541</c:v>
                </c:pt>
                <c:pt idx="960">
                  <c:v>540</c:v>
                </c:pt>
                <c:pt idx="961">
                  <c:v>539</c:v>
                </c:pt>
                <c:pt idx="962">
                  <c:v>538</c:v>
                </c:pt>
                <c:pt idx="963">
                  <c:v>537</c:v>
                </c:pt>
                <c:pt idx="964">
                  <c:v>536</c:v>
                </c:pt>
                <c:pt idx="965">
                  <c:v>535</c:v>
                </c:pt>
                <c:pt idx="966">
                  <c:v>534</c:v>
                </c:pt>
                <c:pt idx="967">
                  <c:v>533</c:v>
                </c:pt>
                <c:pt idx="968">
                  <c:v>532</c:v>
                </c:pt>
                <c:pt idx="969">
                  <c:v>531</c:v>
                </c:pt>
                <c:pt idx="970">
                  <c:v>530</c:v>
                </c:pt>
                <c:pt idx="971">
                  <c:v>529</c:v>
                </c:pt>
                <c:pt idx="972">
                  <c:v>528</c:v>
                </c:pt>
                <c:pt idx="973">
                  <c:v>527</c:v>
                </c:pt>
                <c:pt idx="974">
                  <c:v>526</c:v>
                </c:pt>
                <c:pt idx="975">
                  <c:v>525</c:v>
                </c:pt>
                <c:pt idx="976">
                  <c:v>524</c:v>
                </c:pt>
                <c:pt idx="977">
                  <c:v>523</c:v>
                </c:pt>
                <c:pt idx="978">
                  <c:v>522</c:v>
                </c:pt>
                <c:pt idx="979">
                  <c:v>521</c:v>
                </c:pt>
                <c:pt idx="980">
                  <c:v>520</c:v>
                </c:pt>
                <c:pt idx="981">
                  <c:v>519</c:v>
                </c:pt>
                <c:pt idx="982">
                  <c:v>518</c:v>
                </c:pt>
                <c:pt idx="983">
                  <c:v>517</c:v>
                </c:pt>
                <c:pt idx="984">
                  <c:v>516</c:v>
                </c:pt>
                <c:pt idx="985">
                  <c:v>515</c:v>
                </c:pt>
                <c:pt idx="986">
                  <c:v>514</c:v>
                </c:pt>
                <c:pt idx="987">
                  <c:v>513</c:v>
                </c:pt>
                <c:pt idx="988">
                  <c:v>512</c:v>
                </c:pt>
                <c:pt idx="989">
                  <c:v>511</c:v>
                </c:pt>
                <c:pt idx="990">
                  <c:v>510</c:v>
                </c:pt>
                <c:pt idx="991">
                  <c:v>509</c:v>
                </c:pt>
                <c:pt idx="992">
                  <c:v>508</c:v>
                </c:pt>
                <c:pt idx="993">
                  <c:v>507</c:v>
                </c:pt>
                <c:pt idx="994">
                  <c:v>506</c:v>
                </c:pt>
                <c:pt idx="995">
                  <c:v>505</c:v>
                </c:pt>
                <c:pt idx="996">
                  <c:v>504</c:v>
                </c:pt>
                <c:pt idx="997">
                  <c:v>503</c:v>
                </c:pt>
                <c:pt idx="998">
                  <c:v>502</c:v>
                </c:pt>
                <c:pt idx="999">
                  <c:v>501</c:v>
                </c:pt>
                <c:pt idx="1000">
                  <c:v>500</c:v>
                </c:pt>
                <c:pt idx="1001">
                  <c:v>499</c:v>
                </c:pt>
                <c:pt idx="1002">
                  <c:v>498</c:v>
                </c:pt>
                <c:pt idx="1003">
                  <c:v>497</c:v>
                </c:pt>
                <c:pt idx="1004">
                  <c:v>496</c:v>
                </c:pt>
                <c:pt idx="1005">
                  <c:v>495</c:v>
                </c:pt>
                <c:pt idx="1006">
                  <c:v>494</c:v>
                </c:pt>
                <c:pt idx="1007">
                  <c:v>493</c:v>
                </c:pt>
                <c:pt idx="1008">
                  <c:v>492</c:v>
                </c:pt>
                <c:pt idx="1009">
                  <c:v>491</c:v>
                </c:pt>
                <c:pt idx="1010">
                  <c:v>490</c:v>
                </c:pt>
                <c:pt idx="1011">
                  <c:v>489</c:v>
                </c:pt>
                <c:pt idx="1012">
                  <c:v>488</c:v>
                </c:pt>
                <c:pt idx="1013">
                  <c:v>487</c:v>
                </c:pt>
                <c:pt idx="1014">
                  <c:v>486</c:v>
                </c:pt>
                <c:pt idx="1015">
                  <c:v>485</c:v>
                </c:pt>
                <c:pt idx="1016">
                  <c:v>484</c:v>
                </c:pt>
                <c:pt idx="1017">
                  <c:v>483</c:v>
                </c:pt>
                <c:pt idx="1018">
                  <c:v>482</c:v>
                </c:pt>
                <c:pt idx="1019">
                  <c:v>481</c:v>
                </c:pt>
                <c:pt idx="1020">
                  <c:v>480</c:v>
                </c:pt>
                <c:pt idx="1021">
                  <c:v>479</c:v>
                </c:pt>
                <c:pt idx="1022">
                  <c:v>478</c:v>
                </c:pt>
                <c:pt idx="1023">
                  <c:v>477</c:v>
                </c:pt>
                <c:pt idx="1024">
                  <c:v>476</c:v>
                </c:pt>
                <c:pt idx="1025">
                  <c:v>475</c:v>
                </c:pt>
                <c:pt idx="1026">
                  <c:v>474</c:v>
                </c:pt>
                <c:pt idx="1027">
                  <c:v>473</c:v>
                </c:pt>
                <c:pt idx="1028">
                  <c:v>472</c:v>
                </c:pt>
                <c:pt idx="1029">
                  <c:v>471</c:v>
                </c:pt>
                <c:pt idx="1030">
                  <c:v>470</c:v>
                </c:pt>
                <c:pt idx="1031">
                  <c:v>469</c:v>
                </c:pt>
                <c:pt idx="1032">
                  <c:v>468</c:v>
                </c:pt>
                <c:pt idx="1033">
                  <c:v>467</c:v>
                </c:pt>
                <c:pt idx="1034">
                  <c:v>466</c:v>
                </c:pt>
                <c:pt idx="1035">
                  <c:v>465</c:v>
                </c:pt>
                <c:pt idx="1036">
                  <c:v>464</c:v>
                </c:pt>
                <c:pt idx="1037">
                  <c:v>463</c:v>
                </c:pt>
                <c:pt idx="1038">
                  <c:v>462</c:v>
                </c:pt>
                <c:pt idx="1039">
                  <c:v>461</c:v>
                </c:pt>
                <c:pt idx="1040">
                  <c:v>460</c:v>
                </c:pt>
                <c:pt idx="1041">
                  <c:v>459</c:v>
                </c:pt>
                <c:pt idx="1042">
                  <c:v>458</c:v>
                </c:pt>
                <c:pt idx="1043">
                  <c:v>457</c:v>
                </c:pt>
                <c:pt idx="1044">
                  <c:v>456</c:v>
                </c:pt>
                <c:pt idx="1045">
                  <c:v>455</c:v>
                </c:pt>
                <c:pt idx="1046">
                  <c:v>454</c:v>
                </c:pt>
                <c:pt idx="1047">
                  <c:v>453</c:v>
                </c:pt>
                <c:pt idx="1048">
                  <c:v>452</c:v>
                </c:pt>
                <c:pt idx="1049">
                  <c:v>451</c:v>
                </c:pt>
                <c:pt idx="1050">
                  <c:v>450</c:v>
                </c:pt>
                <c:pt idx="1051">
                  <c:v>449</c:v>
                </c:pt>
                <c:pt idx="1052">
                  <c:v>448</c:v>
                </c:pt>
                <c:pt idx="1053">
                  <c:v>447</c:v>
                </c:pt>
                <c:pt idx="1054">
                  <c:v>446</c:v>
                </c:pt>
                <c:pt idx="1055">
                  <c:v>445</c:v>
                </c:pt>
                <c:pt idx="1056">
                  <c:v>444</c:v>
                </c:pt>
                <c:pt idx="1057">
                  <c:v>443</c:v>
                </c:pt>
                <c:pt idx="1058">
                  <c:v>442</c:v>
                </c:pt>
                <c:pt idx="1059">
                  <c:v>441</c:v>
                </c:pt>
                <c:pt idx="1060">
                  <c:v>440</c:v>
                </c:pt>
                <c:pt idx="1061">
                  <c:v>439</c:v>
                </c:pt>
                <c:pt idx="1062">
                  <c:v>438</c:v>
                </c:pt>
                <c:pt idx="1063">
                  <c:v>437</c:v>
                </c:pt>
                <c:pt idx="1064">
                  <c:v>436</c:v>
                </c:pt>
                <c:pt idx="1065">
                  <c:v>435</c:v>
                </c:pt>
                <c:pt idx="1066">
                  <c:v>434</c:v>
                </c:pt>
                <c:pt idx="1067">
                  <c:v>433</c:v>
                </c:pt>
                <c:pt idx="1068">
                  <c:v>432</c:v>
                </c:pt>
                <c:pt idx="1069">
                  <c:v>431</c:v>
                </c:pt>
                <c:pt idx="1070">
                  <c:v>430</c:v>
                </c:pt>
                <c:pt idx="1071">
                  <c:v>429</c:v>
                </c:pt>
                <c:pt idx="1072">
                  <c:v>428</c:v>
                </c:pt>
                <c:pt idx="1073">
                  <c:v>427</c:v>
                </c:pt>
                <c:pt idx="1074">
                  <c:v>426</c:v>
                </c:pt>
                <c:pt idx="1075">
                  <c:v>425</c:v>
                </c:pt>
                <c:pt idx="1076">
                  <c:v>424</c:v>
                </c:pt>
                <c:pt idx="1077">
                  <c:v>423</c:v>
                </c:pt>
                <c:pt idx="1078">
                  <c:v>422</c:v>
                </c:pt>
                <c:pt idx="1079">
                  <c:v>421</c:v>
                </c:pt>
                <c:pt idx="1080">
                  <c:v>420</c:v>
                </c:pt>
                <c:pt idx="1081">
                  <c:v>419</c:v>
                </c:pt>
                <c:pt idx="1082">
                  <c:v>418</c:v>
                </c:pt>
                <c:pt idx="1083">
                  <c:v>417</c:v>
                </c:pt>
                <c:pt idx="1084">
                  <c:v>416</c:v>
                </c:pt>
                <c:pt idx="1085">
                  <c:v>415</c:v>
                </c:pt>
                <c:pt idx="1086">
                  <c:v>414</c:v>
                </c:pt>
                <c:pt idx="1087">
                  <c:v>413</c:v>
                </c:pt>
                <c:pt idx="1088">
                  <c:v>412</c:v>
                </c:pt>
                <c:pt idx="1089">
                  <c:v>411</c:v>
                </c:pt>
                <c:pt idx="1090">
                  <c:v>410</c:v>
                </c:pt>
                <c:pt idx="1091">
                  <c:v>409</c:v>
                </c:pt>
                <c:pt idx="1092">
                  <c:v>408</c:v>
                </c:pt>
                <c:pt idx="1093">
                  <c:v>407</c:v>
                </c:pt>
                <c:pt idx="1094">
                  <c:v>406</c:v>
                </c:pt>
                <c:pt idx="1095">
                  <c:v>405</c:v>
                </c:pt>
                <c:pt idx="1096">
                  <c:v>404</c:v>
                </c:pt>
                <c:pt idx="1097">
                  <c:v>403</c:v>
                </c:pt>
                <c:pt idx="1098">
                  <c:v>402</c:v>
                </c:pt>
                <c:pt idx="1099">
                  <c:v>401</c:v>
                </c:pt>
                <c:pt idx="1100">
                  <c:v>400</c:v>
                </c:pt>
                <c:pt idx="1101">
                  <c:v>399</c:v>
                </c:pt>
                <c:pt idx="1102">
                  <c:v>398</c:v>
                </c:pt>
                <c:pt idx="1103">
                  <c:v>397</c:v>
                </c:pt>
                <c:pt idx="1104">
                  <c:v>396</c:v>
                </c:pt>
                <c:pt idx="1105">
                  <c:v>395</c:v>
                </c:pt>
                <c:pt idx="1106">
                  <c:v>394</c:v>
                </c:pt>
                <c:pt idx="1107">
                  <c:v>393</c:v>
                </c:pt>
                <c:pt idx="1108">
                  <c:v>392</c:v>
                </c:pt>
                <c:pt idx="1109">
                  <c:v>391</c:v>
                </c:pt>
                <c:pt idx="1110">
                  <c:v>390</c:v>
                </c:pt>
                <c:pt idx="1111">
                  <c:v>389</c:v>
                </c:pt>
                <c:pt idx="1112">
                  <c:v>388</c:v>
                </c:pt>
                <c:pt idx="1113">
                  <c:v>387</c:v>
                </c:pt>
                <c:pt idx="1114">
                  <c:v>386</c:v>
                </c:pt>
                <c:pt idx="1115">
                  <c:v>385</c:v>
                </c:pt>
                <c:pt idx="1116">
                  <c:v>384</c:v>
                </c:pt>
                <c:pt idx="1117">
                  <c:v>383</c:v>
                </c:pt>
                <c:pt idx="1118">
                  <c:v>382</c:v>
                </c:pt>
                <c:pt idx="1119">
                  <c:v>381</c:v>
                </c:pt>
                <c:pt idx="1120">
                  <c:v>380</c:v>
                </c:pt>
                <c:pt idx="1121">
                  <c:v>379</c:v>
                </c:pt>
                <c:pt idx="1122">
                  <c:v>378</c:v>
                </c:pt>
                <c:pt idx="1123">
                  <c:v>377</c:v>
                </c:pt>
                <c:pt idx="1124">
                  <c:v>376</c:v>
                </c:pt>
                <c:pt idx="1125">
                  <c:v>375</c:v>
                </c:pt>
                <c:pt idx="1126">
                  <c:v>374</c:v>
                </c:pt>
                <c:pt idx="1127">
                  <c:v>373</c:v>
                </c:pt>
                <c:pt idx="1128">
                  <c:v>372</c:v>
                </c:pt>
                <c:pt idx="1129">
                  <c:v>371</c:v>
                </c:pt>
                <c:pt idx="1130">
                  <c:v>370</c:v>
                </c:pt>
                <c:pt idx="1131">
                  <c:v>369</c:v>
                </c:pt>
                <c:pt idx="1132">
                  <c:v>368</c:v>
                </c:pt>
                <c:pt idx="1133">
                  <c:v>367</c:v>
                </c:pt>
                <c:pt idx="1134">
                  <c:v>366</c:v>
                </c:pt>
                <c:pt idx="1135">
                  <c:v>365</c:v>
                </c:pt>
                <c:pt idx="1136">
                  <c:v>364</c:v>
                </c:pt>
                <c:pt idx="1137">
                  <c:v>363</c:v>
                </c:pt>
                <c:pt idx="1138">
                  <c:v>362</c:v>
                </c:pt>
                <c:pt idx="1139">
                  <c:v>361</c:v>
                </c:pt>
                <c:pt idx="1140">
                  <c:v>360</c:v>
                </c:pt>
                <c:pt idx="1141">
                  <c:v>359</c:v>
                </c:pt>
                <c:pt idx="1142">
                  <c:v>358</c:v>
                </c:pt>
                <c:pt idx="1143">
                  <c:v>357</c:v>
                </c:pt>
                <c:pt idx="1144">
                  <c:v>356</c:v>
                </c:pt>
                <c:pt idx="1145">
                  <c:v>355</c:v>
                </c:pt>
                <c:pt idx="1146">
                  <c:v>354</c:v>
                </c:pt>
                <c:pt idx="1147">
                  <c:v>353</c:v>
                </c:pt>
                <c:pt idx="1148">
                  <c:v>352</c:v>
                </c:pt>
                <c:pt idx="1149">
                  <c:v>351</c:v>
                </c:pt>
                <c:pt idx="1150">
                  <c:v>350</c:v>
                </c:pt>
                <c:pt idx="1151">
                  <c:v>349</c:v>
                </c:pt>
                <c:pt idx="1152">
                  <c:v>348</c:v>
                </c:pt>
                <c:pt idx="1153">
                  <c:v>347</c:v>
                </c:pt>
                <c:pt idx="1154">
                  <c:v>346</c:v>
                </c:pt>
                <c:pt idx="1155">
                  <c:v>345</c:v>
                </c:pt>
                <c:pt idx="1156">
                  <c:v>344</c:v>
                </c:pt>
                <c:pt idx="1157">
                  <c:v>343</c:v>
                </c:pt>
                <c:pt idx="1158">
                  <c:v>342</c:v>
                </c:pt>
                <c:pt idx="1159">
                  <c:v>341</c:v>
                </c:pt>
                <c:pt idx="1160">
                  <c:v>340</c:v>
                </c:pt>
                <c:pt idx="1161">
                  <c:v>339</c:v>
                </c:pt>
                <c:pt idx="1162">
                  <c:v>338</c:v>
                </c:pt>
                <c:pt idx="1163">
                  <c:v>337</c:v>
                </c:pt>
                <c:pt idx="1164">
                  <c:v>336</c:v>
                </c:pt>
                <c:pt idx="1165">
                  <c:v>335</c:v>
                </c:pt>
                <c:pt idx="1166">
                  <c:v>334</c:v>
                </c:pt>
                <c:pt idx="1167">
                  <c:v>333</c:v>
                </c:pt>
                <c:pt idx="1168">
                  <c:v>332</c:v>
                </c:pt>
                <c:pt idx="1169">
                  <c:v>331</c:v>
                </c:pt>
                <c:pt idx="1170">
                  <c:v>330</c:v>
                </c:pt>
                <c:pt idx="1171">
                  <c:v>329</c:v>
                </c:pt>
                <c:pt idx="1172">
                  <c:v>328</c:v>
                </c:pt>
                <c:pt idx="1173">
                  <c:v>327</c:v>
                </c:pt>
                <c:pt idx="1174">
                  <c:v>326</c:v>
                </c:pt>
                <c:pt idx="1175">
                  <c:v>325</c:v>
                </c:pt>
                <c:pt idx="1176">
                  <c:v>324</c:v>
                </c:pt>
                <c:pt idx="1177">
                  <c:v>323</c:v>
                </c:pt>
                <c:pt idx="1178">
                  <c:v>322</c:v>
                </c:pt>
                <c:pt idx="1179">
                  <c:v>321</c:v>
                </c:pt>
                <c:pt idx="1180">
                  <c:v>320</c:v>
                </c:pt>
                <c:pt idx="1181">
                  <c:v>319</c:v>
                </c:pt>
                <c:pt idx="1182">
                  <c:v>318</c:v>
                </c:pt>
                <c:pt idx="1183">
                  <c:v>317</c:v>
                </c:pt>
                <c:pt idx="1184">
                  <c:v>316</c:v>
                </c:pt>
                <c:pt idx="1185">
                  <c:v>315</c:v>
                </c:pt>
                <c:pt idx="1186">
                  <c:v>314</c:v>
                </c:pt>
                <c:pt idx="1187">
                  <c:v>313</c:v>
                </c:pt>
                <c:pt idx="1188">
                  <c:v>312</c:v>
                </c:pt>
                <c:pt idx="1189">
                  <c:v>311</c:v>
                </c:pt>
                <c:pt idx="1190">
                  <c:v>310</c:v>
                </c:pt>
                <c:pt idx="1191">
                  <c:v>309</c:v>
                </c:pt>
                <c:pt idx="1192">
                  <c:v>308</c:v>
                </c:pt>
                <c:pt idx="1193">
                  <c:v>307</c:v>
                </c:pt>
                <c:pt idx="1194">
                  <c:v>306</c:v>
                </c:pt>
                <c:pt idx="1195">
                  <c:v>305</c:v>
                </c:pt>
                <c:pt idx="1196">
                  <c:v>304</c:v>
                </c:pt>
                <c:pt idx="1197">
                  <c:v>303</c:v>
                </c:pt>
                <c:pt idx="1198">
                  <c:v>302</c:v>
                </c:pt>
                <c:pt idx="1199">
                  <c:v>301</c:v>
                </c:pt>
                <c:pt idx="1200">
                  <c:v>300</c:v>
                </c:pt>
                <c:pt idx="1201">
                  <c:v>299</c:v>
                </c:pt>
                <c:pt idx="1202">
                  <c:v>298</c:v>
                </c:pt>
                <c:pt idx="1203">
                  <c:v>297</c:v>
                </c:pt>
                <c:pt idx="1204">
                  <c:v>296</c:v>
                </c:pt>
                <c:pt idx="1205">
                  <c:v>295</c:v>
                </c:pt>
                <c:pt idx="1206">
                  <c:v>294</c:v>
                </c:pt>
                <c:pt idx="1207">
                  <c:v>293</c:v>
                </c:pt>
                <c:pt idx="1208">
                  <c:v>292</c:v>
                </c:pt>
                <c:pt idx="1209">
                  <c:v>291</c:v>
                </c:pt>
                <c:pt idx="1210">
                  <c:v>290</c:v>
                </c:pt>
                <c:pt idx="1211">
                  <c:v>289</c:v>
                </c:pt>
                <c:pt idx="1212">
                  <c:v>288</c:v>
                </c:pt>
                <c:pt idx="1213">
                  <c:v>287</c:v>
                </c:pt>
                <c:pt idx="1214">
                  <c:v>286</c:v>
                </c:pt>
                <c:pt idx="1215">
                  <c:v>285</c:v>
                </c:pt>
                <c:pt idx="1216">
                  <c:v>284</c:v>
                </c:pt>
                <c:pt idx="1217">
                  <c:v>283</c:v>
                </c:pt>
                <c:pt idx="1218">
                  <c:v>282</c:v>
                </c:pt>
                <c:pt idx="1219">
                  <c:v>281</c:v>
                </c:pt>
                <c:pt idx="1220">
                  <c:v>280</c:v>
                </c:pt>
                <c:pt idx="1221">
                  <c:v>279</c:v>
                </c:pt>
                <c:pt idx="1222">
                  <c:v>278</c:v>
                </c:pt>
                <c:pt idx="1223">
                  <c:v>277</c:v>
                </c:pt>
                <c:pt idx="1224">
                  <c:v>276</c:v>
                </c:pt>
                <c:pt idx="1225">
                  <c:v>275</c:v>
                </c:pt>
                <c:pt idx="1226">
                  <c:v>274</c:v>
                </c:pt>
                <c:pt idx="1227">
                  <c:v>273</c:v>
                </c:pt>
                <c:pt idx="1228">
                  <c:v>272</c:v>
                </c:pt>
                <c:pt idx="1229">
                  <c:v>271</c:v>
                </c:pt>
                <c:pt idx="1230">
                  <c:v>270</c:v>
                </c:pt>
                <c:pt idx="1231">
                  <c:v>269</c:v>
                </c:pt>
                <c:pt idx="1232">
                  <c:v>268</c:v>
                </c:pt>
                <c:pt idx="1233">
                  <c:v>267</c:v>
                </c:pt>
                <c:pt idx="1234">
                  <c:v>266</c:v>
                </c:pt>
                <c:pt idx="1235">
                  <c:v>265</c:v>
                </c:pt>
                <c:pt idx="1236">
                  <c:v>264</c:v>
                </c:pt>
                <c:pt idx="1237">
                  <c:v>263</c:v>
                </c:pt>
                <c:pt idx="1238">
                  <c:v>262</c:v>
                </c:pt>
                <c:pt idx="1239">
                  <c:v>261</c:v>
                </c:pt>
                <c:pt idx="1240">
                  <c:v>260</c:v>
                </c:pt>
                <c:pt idx="1241">
                  <c:v>259</c:v>
                </c:pt>
                <c:pt idx="1242">
                  <c:v>258</c:v>
                </c:pt>
                <c:pt idx="1243">
                  <c:v>257</c:v>
                </c:pt>
                <c:pt idx="1244">
                  <c:v>256</c:v>
                </c:pt>
                <c:pt idx="1245">
                  <c:v>255</c:v>
                </c:pt>
                <c:pt idx="1246">
                  <c:v>254</c:v>
                </c:pt>
                <c:pt idx="1247">
                  <c:v>253</c:v>
                </c:pt>
                <c:pt idx="1248">
                  <c:v>252</c:v>
                </c:pt>
                <c:pt idx="1249">
                  <c:v>251</c:v>
                </c:pt>
                <c:pt idx="1250">
                  <c:v>250</c:v>
                </c:pt>
                <c:pt idx="1251">
                  <c:v>249</c:v>
                </c:pt>
                <c:pt idx="1252">
                  <c:v>248</c:v>
                </c:pt>
                <c:pt idx="1253">
                  <c:v>247</c:v>
                </c:pt>
                <c:pt idx="1254">
                  <c:v>246</c:v>
                </c:pt>
                <c:pt idx="1255">
                  <c:v>245</c:v>
                </c:pt>
                <c:pt idx="1256">
                  <c:v>244</c:v>
                </c:pt>
                <c:pt idx="1257">
                  <c:v>243</c:v>
                </c:pt>
                <c:pt idx="1258">
                  <c:v>242</c:v>
                </c:pt>
                <c:pt idx="1259">
                  <c:v>241</c:v>
                </c:pt>
                <c:pt idx="1260">
                  <c:v>240</c:v>
                </c:pt>
                <c:pt idx="1261">
                  <c:v>239</c:v>
                </c:pt>
                <c:pt idx="1262">
                  <c:v>238</c:v>
                </c:pt>
                <c:pt idx="1263">
                  <c:v>237</c:v>
                </c:pt>
                <c:pt idx="1264">
                  <c:v>236</c:v>
                </c:pt>
                <c:pt idx="1265">
                  <c:v>235</c:v>
                </c:pt>
                <c:pt idx="1266">
                  <c:v>234</c:v>
                </c:pt>
                <c:pt idx="1267">
                  <c:v>233</c:v>
                </c:pt>
                <c:pt idx="1268">
                  <c:v>232</c:v>
                </c:pt>
                <c:pt idx="1269">
                  <c:v>231</c:v>
                </c:pt>
                <c:pt idx="1270">
                  <c:v>230</c:v>
                </c:pt>
                <c:pt idx="1271">
                  <c:v>229</c:v>
                </c:pt>
                <c:pt idx="1272">
                  <c:v>228</c:v>
                </c:pt>
                <c:pt idx="1273">
                  <c:v>227</c:v>
                </c:pt>
                <c:pt idx="1274">
                  <c:v>226</c:v>
                </c:pt>
                <c:pt idx="1275">
                  <c:v>225</c:v>
                </c:pt>
                <c:pt idx="1276">
                  <c:v>224</c:v>
                </c:pt>
                <c:pt idx="1277">
                  <c:v>223</c:v>
                </c:pt>
                <c:pt idx="1278">
                  <c:v>222</c:v>
                </c:pt>
                <c:pt idx="1279">
                  <c:v>221</c:v>
                </c:pt>
                <c:pt idx="1280">
                  <c:v>220</c:v>
                </c:pt>
                <c:pt idx="1281">
                  <c:v>219</c:v>
                </c:pt>
                <c:pt idx="1282">
                  <c:v>218</c:v>
                </c:pt>
                <c:pt idx="1283">
                  <c:v>217</c:v>
                </c:pt>
                <c:pt idx="1284">
                  <c:v>216</c:v>
                </c:pt>
                <c:pt idx="1285">
                  <c:v>215</c:v>
                </c:pt>
                <c:pt idx="1286">
                  <c:v>214</c:v>
                </c:pt>
                <c:pt idx="1287">
                  <c:v>213</c:v>
                </c:pt>
                <c:pt idx="1288">
                  <c:v>212</c:v>
                </c:pt>
                <c:pt idx="1289">
                  <c:v>211</c:v>
                </c:pt>
                <c:pt idx="1290">
                  <c:v>210</c:v>
                </c:pt>
                <c:pt idx="1291">
                  <c:v>209</c:v>
                </c:pt>
                <c:pt idx="1292">
                  <c:v>208</c:v>
                </c:pt>
                <c:pt idx="1293">
                  <c:v>207</c:v>
                </c:pt>
                <c:pt idx="1294">
                  <c:v>206</c:v>
                </c:pt>
                <c:pt idx="1295">
                  <c:v>205</c:v>
                </c:pt>
                <c:pt idx="1296">
                  <c:v>204</c:v>
                </c:pt>
                <c:pt idx="1297">
                  <c:v>203</c:v>
                </c:pt>
                <c:pt idx="1298">
                  <c:v>202</c:v>
                </c:pt>
                <c:pt idx="1299">
                  <c:v>201</c:v>
                </c:pt>
                <c:pt idx="1300">
                  <c:v>200</c:v>
                </c:pt>
                <c:pt idx="1301">
                  <c:v>199</c:v>
                </c:pt>
                <c:pt idx="1302">
                  <c:v>198</c:v>
                </c:pt>
                <c:pt idx="1303">
                  <c:v>197</c:v>
                </c:pt>
                <c:pt idx="1304">
                  <c:v>196</c:v>
                </c:pt>
                <c:pt idx="1305">
                  <c:v>195</c:v>
                </c:pt>
                <c:pt idx="1306">
                  <c:v>194</c:v>
                </c:pt>
                <c:pt idx="1307">
                  <c:v>193</c:v>
                </c:pt>
                <c:pt idx="1308">
                  <c:v>192</c:v>
                </c:pt>
                <c:pt idx="1309">
                  <c:v>191</c:v>
                </c:pt>
                <c:pt idx="1310">
                  <c:v>190</c:v>
                </c:pt>
                <c:pt idx="1311">
                  <c:v>189</c:v>
                </c:pt>
                <c:pt idx="1312">
                  <c:v>188</c:v>
                </c:pt>
                <c:pt idx="1313">
                  <c:v>187</c:v>
                </c:pt>
                <c:pt idx="1314">
                  <c:v>186</c:v>
                </c:pt>
                <c:pt idx="1315">
                  <c:v>185</c:v>
                </c:pt>
                <c:pt idx="1316">
                  <c:v>184</c:v>
                </c:pt>
                <c:pt idx="1317">
                  <c:v>183</c:v>
                </c:pt>
                <c:pt idx="1318">
                  <c:v>182</c:v>
                </c:pt>
                <c:pt idx="1319">
                  <c:v>181</c:v>
                </c:pt>
                <c:pt idx="1320">
                  <c:v>180</c:v>
                </c:pt>
                <c:pt idx="1321">
                  <c:v>179</c:v>
                </c:pt>
                <c:pt idx="1322">
                  <c:v>178</c:v>
                </c:pt>
                <c:pt idx="1323">
                  <c:v>177</c:v>
                </c:pt>
                <c:pt idx="1324">
                  <c:v>176</c:v>
                </c:pt>
                <c:pt idx="1325">
                  <c:v>175</c:v>
                </c:pt>
                <c:pt idx="1326">
                  <c:v>174</c:v>
                </c:pt>
                <c:pt idx="1327">
                  <c:v>173</c:v>
                </c:pt>
                <c:pt idx="1328">
                  <c:v>172</c:v>
                </c:pt>
                <c:pt idx="1329">
                  <c:v>171</c:v>
                </c:pt>
                <c:pt idx="1330">
                  <c:v>170</c:v>
                </c:pt>
                <c:pt idx="1331">
                  <c:v>169</c:v>
                </c:pt>
                <c:pt idx="1332">
                  <c:v>168</c:v>
                </c:pt>
                <c:pt idx="1333">
                  <c:v>167</c:v>
                </c:pt>
                <c:pt idx="1334">
                  <c:v>166</c:v>
                </c:pt>
                <c:pt idx="1335">
                  <c:v>165</c:v>
                </c:pt>
                <c:pt idx="1336">
                  <c:v>164</c:v>
                </c:pt>
                <c:pt idx="1337">
                  <c:v>163</c:v>
                </c:pt>
                <c:pt idx="1338">
                  <c:v>162</c:v>
                </c:pt>
                <c:pt idx="1339">
                  <c:v>161</c:v>
                </c:pt>
                <c:pt idx="1340">
                  <c:v>160</c:v>
                </c:pt>
                <c:pt idx="1341">
                  <c:v>159</c:v>
                </c:pt>
                <c:pt idx="1342">
                  <c:v>158</c:v>
                </c:pt>
                <c:pt idx="1343">
                  <c:v>157</c:v>
                </c:pt>
                <c:pt idx="1344">
                  <c:v>156</c:v>
                </c:pt>
                <c:pt idx="1345">
                  <c:v>155</c:v>
                </c:pt>
                <c:pt idx="1346">
                  <c:v>154</c:v>
                </c:pt>
                <c:pt idx="1347">
                  <c:v>153</c:v>
                </c:pt>
                <c:pt idx="1348">
                  <c:v>152</c:v>
                </c:pt>
                <c:pt idx="1349">
                  <c:v>151</c:v>
                </c:pt>
                <c:pt idx="1350">
                  <c:v>150</c:v>
                </c:pt>
                <c:pt idx="1351">
                  <c:v>149</c:v>
                </c:pt>
                <c:pt idx="1352">
                  <c:v>148</c:v>
                </c:pt>
                <c:pt idx="1353">
                  <c:v>147</c:v>
                </c:pt>
                <c:pt idx="1354">
                  <c:v>146</c:v>
                </c:pt>
                <c:pt idx="1355">
                  <c:v>145</c:v>
                </c:pt>
                <c:pt idx="1356">
                  <c:v>144</c:v>
                </c:pt>
                <c:pt idx="1357">
                  <c:v>143</c:v>
                </c:pt>
                <c:pt idx="1358">
                  <c:v>142</c:v>
                </c:pt>
                <c:pt idx="1359">
                  <c:v>141</c:v>
                </c:pt>
                <c:pt idx="1360">
                  <c:v>140</c:v>
                </c:pt>
                <c:pt idx="1361">
                  <c:v>139</c:v>
                </c:pt>
                <c:pt idx="1362">
                  <c:v>138</c:v>
                </c:pt>
                <c:pt idx="1363">
                  <c:v>137</c:v>
                </c:pt>
                <c:pt idx="1364">
                  <c:v>136</c:v>
                </c:pt>
                <c:pt idx="1365">
                  <c:v>135</c:v>
                </c:pt>
                <c:pt idx="1366">
                  <c:v>134</c:v>
                </c:pt>
                <c:pt idx="1367">
                  <c:v>133</c:v>
                </c:pt>
                <c:pt idx="1368">
                  <c:v>132</c:v>
                </c:pt>
                <c:pt idx="1369">
                  <c:v>131</c:v>
                </c:pt>
                <c:pt idx="1370">
                  <c:v>130</c:v>
                </c:pt>
                <c:pt idx="1371">
                  <c:v>129</c:v>
                </c:pt>
                <c:pt idx="1372">
                  <c:v>128</c:v>
                </c:pt>
                <c:pt idx="1373">
                  <c:v>127</c:v>
                </c:pt>
                <c:pt idx="1374">
                  <c:v>126</c:v>
                </c:pt>
                <c:pt idx="1375">
                  <c:v>125</c:v>
                </c:pt>
                <c:pt idx="1376">
                  <c:v>124</c:v>
                </c:pt>
                <c:pt idx="1377">
                  <c:v>123</c:v>
                </c:pt>
                <c:pt idx="1378">
                  <c:v>122</c:v>
                </c:pt>
                <c:pt idx="1379">
                  <c:v>121</c:v>
                </c:pt>
                <c:pt idx="1380">
                  <c:v>120</c:v>
                </c:pt>
                <c:pt idx="1381">
                  <c:v>119</c:v>
                </c:pt>
                <c:pt idx="1382">
                  <c:v>118</c:v>
                </c:pt>
                <c:pt idx="1383">
                  <c:v>117</c:v>
                </c:pt>
                <c:pt idx="1384">
                  <c:v>116</c:v>
                </c:pt>
                <c:pt idx="1385">
                  <c:v>115</c:v>
                </c:pt>
                <c:pt idx="1386">
                  <c:v>114</c:v>
                </c:pt>
                <c:pt idx="1387">
                  <c:v>113</c:v>
                </c:pt>
                <c:pt idx="1388">
                  <c:v>112</c:v>
                </c:pt>
                <c:pt idx="1389">
                  <c:v>111</c:v>
                </c:pt>
                <c:pt idx="1390">
                  <c:v>110</c:v>
                </c:pt>
                <c:pt idx="1391">
                  <c:v>109</c:v>
                </c:pt>
                <c:pt idx="1392">
                  <c:v>108</c:v>
                </c:pt>
                <c:pt idx="1393">
                  <c:v>107</c:v>
                </c:pt>
                <c:pt idx="1394">
                  <c:v>106</c:v>
                </c:pt>
                <c:pt idx="1395">
                  <c:v>105</c:v>
                </c:pt>
                <c:pt idx="1396">
                  <c:v>104</c:v>
                </c:pt>
                <c:pt idx="1397">
                  <c:v>103</c:v>
                </c:pt>
                <c:pt idx="1398">
                  <c:v>102</c:v>
                </c:pt>
                <c:pt idx="1399">
                  <c:v>101</c:v>
                </c:pt>
                <c:pt idx="1400">
                  <c:v>100</c:v>
                </c:pt>
                <c:pt idx="1401">
                  <c:v>99</c:v>
                </c:pt>
                <c:pt idx="1402">
                  <c:v>98</c:v>
                </c:pt>
                <c:pt idx="1403">
                  <c:v>97</c:v>
                </c:pt>
                <c:pt idx="1404">
                  <c:v>96</c:v>
                </c:pt>
                <c:pt idx="1405">
                  <c:v>95</c:v>
                </c:pt>
                <c:pt idx="1406">
                  <c:v>94</c:v>
                </c:pt>
                <c:pt idx="1407">
                  <c:v>93</c:v>
                </c:pt>
                <c:pt idx="1408">
                  <c:v>92</c:v>
                </c:pt>
                <c:pt idx="1409">
                  <c:v>91</c:v>
                </c:pt>
                <c:pt idx="1410">
                  <c:v>90</c:v>
                </c:pt>
                <c:pt idx="1411">
                  <c:v>89</c:v>
                </c:pt>
                <c:pt idx="1412">
                  <c:v>88</c:v>
                </c:pt>
                <c:pt idx="1413">
                  <c:v>87</c:v>
                </c:pt>
                <c:pt idx="1414">
                  <c:v>86</c:v>
                </c:pt>
                <c:pt idx="1415">
                  <c:v>85</c:v>
                </c:pt>
                <c:pt idx="1416">
                  <c:v>84</c:v>
                </c:pt>
                <c:pt idx="1417">
                  <c:v>83</c:v>
                </c:pt>
                <c:pt idx="1418">
                  <c:v>82</c:v>
                </c:pt>
                <c:pt idx="1419">
                  <c:v>81</c:v>
                </c:pt>
                <c:pt idx="1420">
                  <c:v>80</c:v>
                </c:pt>
                <c:pt idx="1421">
                  <c:v>79</c:v>
                </c:pt>
                <c:pt idx="1422">
                  <c:v>78</c:v>
                </c:pt>
                <c:pt idx="1423">
                  <c:v>77</c:v>
                </c:pt>
                <c:pt idx="1424">
                  <c:v>76</c:v>
                </c:pt>
                <c:pt idx="1425">
                  <c:v>75</c:v>
                </c:pt>
                <c:pt idx="1426">
                  <c:v>74</c:v>
                </c:pt>
                <c:pt idx="1427">
                  <c:v>73</c:v>
                </c:pt>
                <c:pt idx="1428">
                  <c:v>72</c:v>
                </c:pt>
                <c:pt idx="1429">
                  <c:v>71</c:v>
                </c:pt>
                <c:pt idx="1430">
                  <c:v>70</c:v>
                </c:pt>
                <c:pt idx="1431">
                  <c:v>69</c:v>
                </c:pt>
                <c:pt idx="1432">
                  <c:v>68</c:v>
                </c:pt>
                <c:pt idx="1433">
                  <c:v>67</c:v>
                </c:pt>
                <c:pt idx="1434">
                  <c:v>66</c:v>
                </c:pt>
                <c:pt idx="1435">
                  <c:v>65</c:v>
                </c:pt>
                <c:pt idx="1436">
                  <c:v>64</c:v>
                </c:pt>
                <c:pt idx="1437">
                  <c:v>63</c:v>
                </c:pt>
                <c:pt idx="1438">
                  <c:v>62</c:v>
                </c:pt>
                <c:pt idx="1439">
                  <c:v>61</c:v>
                </c:pt>
                <c:pt idx="1440">
                  <c:v>60</c:v>
                </c:pt>
                <c:pt idx="1441">
                  <c:v>59</c:v>
                </c:pt>
                <c:pt idx="1442">
                  <c:v>58</c:v>
                </c:pt>
                <c:pt idx="1443">
                  <c:v>57</c:v>
                </c:pt>
                <c:pt idx="1444">
                  <c:v>56</c:v>
                </c:pt>
                <c:pt idx="1445">
                  <c:v>55</c:v>
                </c:pt>
                <c:pt idx="1446">
                  <c:v>54</c:v>
                </c:pt>
                <c:pt idx="1447">
                  <c:v>53</c:v>
                </c:pt>
                <c:pt idx="1448">
                  <c:v>52</c:v>
                </c:pt>
                <c:pt idx="1449">
                  <c:v>51</c:v>
                </c:pt>
                <c:pt idx="1450">
                  <c:v>50</c:v>
                </c:pt>
                <c:pt idx="1451">
                  <c:v>49</c:v>
                </c:pt>
                <c:pt idx="1452">
                  <c:v>48</c:v>
                </c:pt>
                <c:pt idx="1453">
                  <c:v>47</c:v>
                </c:pt>
                <c:pt idx="1454">
                  <c:v>46</c:v>
                </c:pt>
                <c:pt idx="1455">
                  <c:v>45</c:v>
                </c:pt>
                <c:pt idx="1456">
                  <c:v>44</c:v>
                </c:pt>
                <c:pt idx="1457">
                  <c:v>43</c:v>
                </c:pt>
                <c:pt idx="1458">
                  <c:v>42</c:v>
                </c:pt>
                <c:pt idx="1459">
                  <c:v>41</c:v>
                </c:pt>
                <c:pt idx="1460">
                  <c:v>40</c:v>
                </c:pt>
                <c:pt idx="1461">
                  <c:v>39</c:v>
                </c:pt>
                <c:pt idx="1462">
                  <c:v>38</c:v>
                </c:pt>
                <c:pt idx="1463">
                  <c:v>37</c:v>
                </c:pt>
                <c:pt idx="1464">
                  <c:v>36</c:v>
                </c:pt>
                <c:pt idx="1465">
                  <c:v>35</c:v>
                </c:pt>
                <c:pt idx="1466">
                  <c:v>34</c:v>
                </c:pt>
                <c:pt idx="1467">
                  <c:v>33</c:v>
                </c:pt>
                <c:pt idx="1468">
                  <c:v>32</c:v>
                </c:pt>
                <c:pt idx="1469">
                  <c:v>31</c:v>
                </c:pt>
                <c:pt idx="1470">
                  <c:v>30</c:v>
                </c:pt>
                <c:pt idx="1471">
                  <c:v>29</c:v>
                </c:pt>
                <c:pt idx="1472">
                  <c:v>28</c:v>
                </c:pt>
                <c:pt idx="1473">
                  <c:v>27</c:v>
                </c:pt>
                <c:pt idx="1474">
                  <c:v>26</c:v>
                </c:pt>
                <c:pt idx="1475">
                  <c:v>25</c:v>
                </c:pt>
                <c:pt idx="1476">
                  <c:v>24</c:v>
                </c:pt>
                <c:pt idx="1477">
                  <c:v>23</c:v>
                </c:pt>
                <c:pt idx="1478">
                  <c:v>22</c:v>
                </c:pt>
                <c:pt idx="1479">
                  <c:v>21</c:v>
                </c:pt>
                <c:pt idx="1480">
                  <c:v>20</c:v>
                </c:pt>
                <c:pt idx="1481">
                  <c:v>19</c:v>
                </c:pt>
                <c:pt idx="1482">
                  <c:v>18</c:v>
                </c:pt>
                <c:pt idx="1483">
                  <c:v>17</c:v>
                </c:pt>
                <c:pt idx="1484">
                  <c:v>16</c:v>
                </c:pt>
                <c:pt idx="1485">
                  <c:v>15</c:v>
                </c:pt>
                <c:pt idx="1486">
                  <c:v>14</c:v>
                </c:pt>
                <c:pt idx="1487">
                  <c:v>13</c:v>
                </c:pt>
                <c:pt idx="1488">
                  <c:v>12</c:v>
                </c:pt>
                <c:pt idx="1489">
                  <c:v>11</c:v>
                </c:pt>
                <c:pt idx="1490">
                  <c:v>10</c:v>
                </c:pt>
                <c:pt idx="1491">
                  <c:v>9</c:v>
                </c:pt>
                <c:pt idx="1492">
                  <c:v>8</c:v>
                </c:pt>
                <c:pt idx="1493">
                  <c:v>7</c:v>
                </c:pt>
                <c:pt idx="1494">
                  <c:v>6</c:v>
                </c:pt>
                <c:pt idx="1495">
                  <c:v>5</c:v>
                </c:pt>
                <c:pt idx="1496">
                  <c:v>4</c:v>
                </c:pt>
                <c:pt idx="1497">
                  <c:v>3</c:v>
                </c:pt>
                <c:pt idx="1498">
                  <c:v>2</c:v>
                </c:pt>
                <c:pt idx="1499">
                  <c:v>1</c:v>
                </c:pt>
              </c:numCache>
            </c:numRef>
          </c:cat>
          <c:val>
            <c:numRef>
              <c:f>Sheet1!$U$9:$U$1508</c:f>
              <c:numCache>
                <c:formatCode>0.000000</c:formatCode>
                <c:ptCount val="1500"/>
                <c:pt idx="0">
                  <c:v>6.2689950319435836E-6</c:v>
                </c:pt>
                <c:pt idx="1">
                  <c:v>6.3631369199019011E-6</c:v>
                </c:pt>
                <c:pt idx="2">
                  <c:v>6.4586990442932674E-6</c:v>
                </c:pt>
                <c:pt idx="3">
                  <c:v>6.5557028978564634E-6</c:v>
                </c:pt>
                <c:pt idx="4">
                  <c:v>6.6541702990264009E-6</c:v>
                </c:pt>
                <c:pt idx="5">
                  <c:v>6.7541233968647241E-6</c:v>
                </c:pt>
                <c:pt idx="6">
                  <c:v>6.8555846760668037E-6</c:v>
                </c:pt>
                <c:pt idx="7">
                  <c:v>6.9585769620428749E-6</c:v>
                </c:pt>
                <c:pt idx="8">
                  <c:v>7.0631234260761892E-6</c:v>
                </c:pt>
                <c:pt idx="9">
                  <c:v>7.1692475905589401E-6</c:v>
                </c:pt>
                <c:pt idx="10">
                  <c:v>7.2769733343075788E-6</c:v>
                </c:pt>
                <c:pt idx="11">
                  <c:v>7.3863248979579129E-6</c:v>
                </c:pt>
                <c:pt idx="12">
                  <c:v>7.497326889441431E-6</c:v>
                </c:pt>
                <c:pt idx="13">
                  <c:v>7.6100042895441075E-6</c:v>
                </c:pt>
                <c:pt idx="14">
                  <c:v>7.7243824575500059E-6</c:v>
                </c:pt>
                <c:pt idx="15">
                  <c:v>7.8404871369686055E-6</c:v>
                </c:pt>
                <c:pt idx="16">
                  <c:v>7.9583444613496509E-6</c:v>
                </c:pt>
                <c:pt idx="17">
                  <c:v>8.0779809601844007E-6</c:v>
                </c:pt>
                <c:pt idx="18">
                  <c:v>8.1994235648967937E-6</c:v>
                </c:pt>
                <c:pt idx="19">
                  <c:v>8.3226996149247487E-6</c:v>
                </c:pt>
                <c:pt idx="20">
                  <c:v>8.4478368638930203E-6</c:v>
                </c:pt>
                <c:pt idx="21">
                  <c:v>8.5748634858780804E-6</c:v>
                </c:pt>
                <c:pt idx="22">
                  <c:v>8.7038080817693062E-6</c:v>
                </c:pt>
                <c:pt idx="23">
                  <c:v>8.8346996857238853E-6</c:v>
                </c:pt>
                <c:pt idx="24">
                  <c:v>8.9675677717209847E-6</c:v>
                </c:pt>
                <c:pt idx="25">
                  <c:v>9.1024422602125475E-6</c:v>
                </c:pt>
                <c:pt idx="26">
                  <c:v>9.2393535248755038E-6</c:v>
                </c:pt>
                <c:pt idx="27">
                  <c:v>9.3783323994658274E-6</c:v>
                </c:pt>
                <c:pt idx="28">
                  <c:v>9.5194101847747857E-6</c:v>
                </c:pt>
                <c:pt idx="29">
                  <c:v>9.6626186556899804E-6</c:v>
                </c:pt>
                <c:pt idx="30">
                  <c:v>9.8079900683642791E-6</c:v>
                </c:pt>
                <c:pt idx="31">
                  <c:v>9.9555571674898258E-6</c:v>
                </c:pt>
                <c:pt idx="32">
                  <c:v>1.0105353193683829E-5</c:v>
                </c:pt>
                <c:pt idx="33">
                  <c:v>1.0257411890984751E-5</c:v>
                </c:pt>
                <c:pt idx="34">
                  <c:v>1.041176751446045E-5</c:v>
                </c:pt>
                <c:pt idx="35">
                  <c:v>1.0568454837932059E-5</c:v>
                </c:pt>
                <c:pt idx="36">
                  <c:v>1.0727509161812632E-5</c:v>
                </c:pt>
                <c:pt idx="37">
                  <c:v>1.0888966321065071E-5</c:v>
                </c:pt>
                <c:pt idx="38">
                  <c:v>1.1052862693278324E-5</c:v>
                </c:pt>
                <c:pt idx="39">
                  <c:v>1.1219235206865517E-5</c:v>
                </c:pt>
                <c:pt idx="40">
                  <c:v>1.1388121349386184E-5</c:v>
                </c:pt>
                <c:pt idx="41">
                  <c:v>1.1559559175991684E-5</c:v>
                </c:pt>
                <c:pt idx="42">
                  <c:v>1.1733587317998484E-5</c:v>
                </c:pt>
                <c:pt idx="43">
                  <c:v>1.1910244991591736E-5</c:v>
                </c:pt>
                <c:pt idx="44">
                  <c:v>1.2089572006655995E-5</c:v>
                </c:pt>
                <c:pt idx="45">
                  <c:v>1.2271608775741911E-5</c:v>
                </c:pt>
                <c:pt idx="46">
                  <c:v>1.245639632316655E-5</c:v>
                </c:pt>
                <c:pt idx="47">
                  <c:v>1.2643976294248637E-5</c:v>
                </c:pt>
                <c:pt idx="48">
                  <c:v>1.2834390964684907E-5</c:v>
                </c:pt>
                <c:pt idx="49">
                  <c:v>1.3027683250066228E-5</c:v>
                </c:pt>
                <c:pt idx="50">
                  <c:v>1.3223896715536037E-5</c:v>
                </c:pt>
                <c:pt idx="51">
                  <c:v>1.3423075585593872E-5</c:v>
                </c:pt>
                <c:pt idx="52">
                  <c:v>1.3625264754046354E-5</c:v>
                </c:pt>
                <c:pt idx="53">
                  <c:v>1.3830509794107114E-5</c:v>
                </c:pt>
                <c:pt idx="54">
                  <c:v>1.4038856968648925E-5</c:v>
                </c:pt>
                <c:pt idx="55">
                  <c:v>1.4250353240608016E-5</c:v>
                </c:pt>
                <c:pt idx="56">
                  <c:v>1.446504628354595E-5</c:v>
                </c:pt>
                <c:pt idx="57">
                  <c:v>1.4682984492367976E-5</c:v>
                </c:pt>
                <c:pt idx="58">
                  <c:v>1.4904216994205311E-5</c:v>
                </c:pt>
                <c:pt idx="59">
                  <c:v>1.5128793659456621E-5</c:v>
                </c:pt>
                <c:pt idx="60">
                  <c:v>1.5356765112996546E-5</c:v>
                </c:pt>
                <c:pt idx="61">
                  <c:v>1.558818274555414E-5</c:v>
                </c:pt>
                <c:pt idx="62">
                  <c:v>1.5823098725257323E-5</c:v>
                </c:pt>
                <c:pt idx="63">
                  <c:v>1.6061566009354973E-5</c:v>
                </c:pt>
                <c:pt idx="64">
                  <c:v>1.6303638356110796E-5</c:v>
                </c:pt>
                <c:pt idx="65">
                  <c:v>1.6549370336876962E-5</c:v>
                </c:pt>
                <c:pt idx="66">
                  <c:v>1.6798817348349912E-5</c:v>
                </c:pt>
                <c:pt idx="67">
                  <c:v>1.7052035625004325E-5</c:v>
                </c:pt>
                <c:pt idx="68">
                  <c:v>1.7309082251720778E-5</c:v>
                </c:pt>
                <c:pt idx="69">
                  <c:v>1.7570015176595657E-5</c:v>
                </c:pt>
                <c:pt idx="70">
                  <c:v>1.7834893223944874E-5</c:v>
                </c:pt>
                <c:pt idx="71">
                  <c:v>1.8103776107504746E-5</c:v>
                </c:pt>
                <c:pt idx="72">
                  <c:v>1.8376724443825886E-5</c:v>
                </c:pt>
                <c:pt idx="73">
                  <c:v>1.8653799765869754E-5</c:v>
                </c:pt>
                <c:pt idx="74">
                  <c:v>1.8935064536808685E-5</c:v>
                </c:pt>
                <c:pt idx="75">
                  <c:v>1.922058216403052E-5</c:v>
                </c:pt>
                <c:pt idx="76">
                  <c:v>1.9510417013354147E-5</c:v>
                </c:pt>
                <c:pt idx="77">
                  <c:v>1.9804634423456371E-5</c:v>
                </c:pt>
                <c:pt idx="78">
                  <c:v>2.0103300720514056E-5</c:v>
                </c:pt>
                <c:pt idx="79">
                  <c:v>2.0406483233066145E-5</c:v>
                </c:pt>
                <c:pt idx="80">
                  <c:v>2.0714250307096602E-5</c:v>
                </c:pt>
                <c:pt idx="81">
                  <c:v>2.1026671321343047E-5</c:v>
                </c:pt>
                <c:pt idx="82">
                  <c:v>2.1343816702832196E-5</c:v>
                </c:pt>
                <c:pt idx="83">
                  <c:v>2.1665757942649615E-5</c:v>
                </c:pt>
                <c:pt idx="84">
                  <c:v>2.1992567611943859E-5</c:v>
                </c:pt>
                <c:pt idx="85">
                  <c:v>2.2324319378167208E-5</c:v>
                </c:pt>
                <c:pt idx="86">
                  <c:v>2.2661088021563104E-5</c:v>
                </c:pt>
                <c:pt idx="87">
                  <c:v>2.300294945189285E-5</c:v>
                </c:pt>
                <c:pt idx="88">
                  <c:v>2.3349980725420216E-5</c:v>
                </c:pt>
                <c:pt idx="89">
                  <c:v>2.3702260062139739E-5</c:v>
                </c:pt>
                <c:pt idx="90">
                  <c:v>2.4059866863270227E-5</c:v>
                </c:pt>
                <c:pt idx="91">
                  <c:v>2.4422881729002929E-5</c:v>
                </c:pt>
                <c:pt idx="92">
                  <c:v>2.4791386476515301E-5</c:v>
                </c:pt>
                <c:pt idx="93">
                  <c:v>2.5165464158256847E-5</c:v>
                </c:pt>
                <c:pt idx="94">
                  <c:v>2.5545199080502145E-5</c:v>
                </c:pt>
                <c:pt idx="95">
                  <c:v>2.5930676822182888E-5</c:v>
                </c:pt>
                <c:pt idx="96">
                  <c:v>2.6321984253997587E-5</c:v>
                </c:pt>
                <c:pt idx="97">
                  <c:v>2.6719209557810509E-5</c:v>
                </c:pt>
                <c:pt idx="98">
                  <c:v>2.7122442246334059E-5</c:v>
                </c:pt>
                <c:pt idx="99">
                  <c:v>2.7531773183106167E-5</c:v>
                </c:pt>
                <c:pt idx="100">
                  <c:v>2.7947294602763902E-5</c:v>
                </c:pt>
                <c:pt idx="101">
                  <c:v>2.8369100131620723E-5</c:v>
                </c:pt>
                <c:pt idx="102">
                  <c:v>2.8797284808546876E-5</c:v>
                </c:pt>
                <c:pt idx="103">
                  <c:v>2.9231945106159798E-5</c:v>
                </c:pt>
                <c:pt idx="104">
                  <c:v>2.9673178952332687E-5</c:v>
                </c:pt>
                <c:pt idx="105">
                  <c:v>3.0121085752018894E-5</c:v>
                </c:pt>
                <c:pt idx="106">
                  <c:v>3.0575766409401767E-5</c:v>
                </c:pt>
                <c:pt idx="107">
                  <c:v>3.1037323350375434E-5</c:v>
                </c:pt>
                <c:pt idx="108">
                  <c:v>3.1505860545353276E-5</c:v>
                </c:pt>
                <c:pt idx="109">
                  <c:v>3.1981483532423957E-5</c:v>
                </c:pt>
                <c:pt idx="110">
                  <c:v>3.2464299440840368E-5</c:v>
                </c:pt>
                <c:pt idx="111">
                  <c:v>3.2954417014866083E-5</c:v>
                </c:pt>
                <c:pt idx="112">
                  <c:v>3.3451946637971124E-5</c:v>
                </c:pt>
                <c:pt idx="113">
                  <c:v>3.3957000357385501E-5</c:v>
                </c:pt>
                <c:pt idx="114">
                  <c:v>3.4469691909018183E-5</c:v>
                </c:pt>
                <c:pt idx="115">
                  <c:v>3.4990136742748196E-5</c:v>
                </c:pt>
                <c:pt idx="116">
                  <c:v>3.5518452048083876E-5</c:v>
                </c:pt>
                <c:pt idx="117">
                  <c:v>3.6054756780206363E-5</c:v>
                </c:pt>
                <c:pt idx="118">
                  <c:v>3.6599171686400766E-5</c:v>
                </c:pt>
                <c:pt idx="119">
                  <c:v>3.7151819332872162E-5</c:v>
                </c:pt>
                <c:pt idx="120">
                  <c:v>3.7712824131964143E-5</c:v>
                </c:pt>
                <c:pt idx="121">
                  <c:v>3.8282312369776222E-5</c:v>
                </c:pt>
                <c:pt idx="122">
                  <c:v>3.8860412234195128E-5</c:v>
                </c:pt>
                <c:pt idx="123">
                  <c:v>3.9447253843333686E-5</c:v>
                </c:pt>
                <c:pt idx="124">
                  <c:v>4.0042969274392553E-5</c:v>
                </c:pt>
                <c:pt idx="125">
                  <c:v>4.0647692592955188E-5</c:v>
                </c:pt>
                <c:pt idx="126">
                  <c:v>4.1261559882702053E-5</c:v>
                </c:pt>
                <c:pt idx="127">
                  <c:v>4.1884709275578212E-5</c:v>
                </c:pt>
                <c:pt idx="128">
                  <c:v>4.251728098239655E-5</c:v>
                </c:pt>
                <c:pt idx="129">
                  <c:v>4.3159417323896196E-5</c:v>
                </c:pt>
                <c:pt idx="130">
                  <c:v>4.3811262762259486E-5</c:v>
                </c:pt>
                <c:pt idx="131">
                  <c:v>4.4472963933097015E-5</c:v>
                </c:pt>
                <c:pt idx="132">
                  <c:v>4.5144669677894539E-5</c:v>
                </c:pt>
                <c:pt idx="133">
                  <c:v>4.5826531076951558E-5</c:v>
                </c:pt>
                <c:pt idx="134">
                  <c:v>4.6518701482796008E-5</c:v>
                </c:pt>
                <c:pt idx="135">
                  <c:v>4.7221336554096191E-5</c:v>
                </c:pt>
                <c:pt idx="136">
                  <c:v>4.7934594290068747E-5</c:v>
                </c:pt>
                <c:pt idx="137">
                  <c:v>4.8658635065398199E-5</c:v>
                </c:pt>
                <c:pt idx="138">
                  <c:v>4.9393621665666766E-5</c:v>
                </c:pt>
                <c:pt idx="139">
                  <c:v>5.0139719323306231E-5</c:v>
                </c:pt>
                <c:pt idx="140">
                  <c:v>5.0897095754082503E-5</c:v>
                </c:pt>
                <c:pt idx="141">
                  <c:v>5.1665921194113125E-5</c:v>
                </c:pt>
                <c:pt idx="142">
                  <c:v>5.2446368437429775E-5</c:v>
                </c:pt>
                <c:pt idx="143">
                  <c:v>5.3238612874097441E-5</c:v>
                </c:pt>
                <c:pt idx="144">
                  <c:v>5.4042832528887248E-5</c:v>
                </c:pt>
                <c:pt idx="145">
                  <c:v>5.4859208100520605E-5</c:v>
                </c:pt>
                <c:pt idx="146">
                  <c:v>5.568792300149595E-5</c:v>
                </c:pt>
                <c:pt idx="147">
                  <c:v>5.6529163398488134E-5</c:v>
                </c:pt>
                <c:pt idx="148">
                  <c:v>5.7383118253351016E-5</c:v>
                </c:pt>
                <c:pt idx="149">
                  <c:v>5.8249979364722089E-5</c:v>
                </c:pt>
                <c:pt idx="150">
                  <c:v>5.9129941410227546E-5</c:v>
                </c:pt>
                <c:pt idx="151">
                  <c:v>6.002320198931963E-5</c:v>
                </c:pt>
                <c:pt idx="152">
                  <c:v>6.0929961666730059E-5</c:v>
                </c:pt>
                <c:pt idx="153">
                  <c:v>6.1850424016573615E-5</c:v>
                </c:pt>
                <c:pt idx="154">
                  <c:v>6.2784795667082514E-5</c:v>
                </c:pt>
                <c:pt idx="155">
                  <c:v>6.3733286346013938E-5</c:v>
                </c:pt>
                <c:pt idx="156">
                  <c:v>6.4696108926704806E-5</c:v>
                </c:pt>
                <c:pt idx="157">
                  <c:v>6.5673479474814744E-5</c:v>
                </c:pt>
                <c:pt idx="158">
                  <c:v>6.6665617295745877E-5</c:v>
                </c:pt>
                <c:pt idx="159">
                  <c:v>6.7672744982760023E-5</c:v>
                </c:pt>
                <c:pt idx="160">
                  <c:v>6.8695088465795404E-5</c:v>
                </c:pt>
                <c:pt idx="161">
                  <c:v>6.9732877061004798E-5</c:v>
                </c:pt>
                <c:pt idx="162">
                  <c:v>7.0786343521008076E-5</c:v>
                </c:pt>
                <c:pt idx="163">
                  <c:v>7.1855724085887341E-5</c:v>
                </c:pt>
                <c:pt idx="164">
                  <c:v>7.2941258534926003E-5</c:v>
                </c:pt>
                <c:pt idx="165">
                  <c:v>7.4043190239093137E-5</c:v>
                </c:pt>
                <c:pt idx="166">
                  <c:v>7.5161766214313752E-5</c:v>
                </c:pt>
                <c:pt idx="167">
                  <c:v>7.6297237175491979E-5</c:v>
                </c:pt>
                <c:pt idx="168">
                  <c:v>7.744985759134883E-5</c:v>
                </c:pt>
                <c:pt idx="169">
                  <c:v>7.861988574003473E-5</c:v>
                </c:pt>
                <c:pt idx="170">
                  <c:v>7.9807583765570799E-5</c:v>
                </c:pt>
                <c:pt idx="171">
                  <c:v>8.1013217735102902E-5</c:v>
                </c:pt>
                <c:pt idx="172">
                  <c:v>8.2237057696996166E-5</c:v>
                </c:pt>
                <c:pt idx="173">
                  <c:v>8.3479377739766473E-5</c:v>
                </c:pt>
                <c:pt idx="174">
                  <c:v>8.474045605188074E-5</c:v>
                </c:pt>
                <c:pt idx="175">
                  <c:v>8.6020574982423131E-5</c:v>
                </c:pt>
                <c:pt idx="176">
                  <c:v>8.7320021102636671E-5</c:v>
                </c:pt>
                <c:pt idx="177">
                  <c:v>8.8639085268371834E-5</c:v>
                </c:pt>
                <c:pt idx="178">
                  <c:v>8.9978062683435643E-5</c:v>
                </c:pt>
                <c:pt idx="179">
                  <c:v>9.1337252963856862E-5</c:v>
                </c:pt>
                <c:pt idx="180">
                  <c:v>9.271696020310149E-5</c:v>
                </c:pt>
                <c:pt idx="181">
                  <c:v>9.4117493038212992E-5</c:v>
                </c:pt>
                <c:pt idx="182">
                  <c:v>9.5539164716931156E-5</c:v>
                </c:pt>
                <c:pt idx="183">
                  <c:v>9.6982293165773925E-5</c:v>
                </c:pt>
                <c:pt idx="184">
                  <c:v>9.844720105910635E-5</c:v>
                </c:pt>
                <c:pt idx="185">
                  <c:v>9.9934215889223161E-5</c:v>
                </c:pt>
                <c:pt idx="186">
                  <c:v>1.0144367003743189E-4</c:v>
                </c:pt>
                <c:pt idx="187">
                  <c:v>1.0297590084616821E-4</c:v>
                </c:pt>
                <c:pt idx="188">
                  <c:v>1.0453125069216809E-4</c:v>
                </c:pt>
                <c:pt idx="189">
                  <c:v>1.0611006706068318E-4</c:v>
                </c:pt>
                <c:pt idx="190">
                  <c:v>1.0771270262078354E-4</c:v>
                </c:pt>
                <c:pt idx="191">
                  <c:v>1.0933951530173083E-4</c:v>
                </c:pt>
                <c:pt idx="192">
                  <c:v>1.109908683704846E-4</c:v>
                </c:pt>
                <c:pt idx="193">
                  <c:v>1.1266713051029553E-4</c:v>
                </c:pt>
                <c:pt idx="194">
                  <c:v>1.1436867590045649E-4</c:v>
                </c:pt>
                <c:pt idx="195">
                  <c:v>1.1609588429720231E-4</c:v>
                </c:pt>
                <c:pt idx="196">
                  <c:v>1.1784914111576925E-4</c:v>
                </c:pt>
                <c:pt idx="197">
                  <c:v>1.196288375136407E-4</c:v>
                </c:pt>
                <c:pt idx="198">
                  <c:v>1.2143537047499941E-4</c:v>
                </c:pt>
                <c:pt idx="199">
                  <c:v>1.2326914289638842E-4</c:v>
                </c:pt>
                <c:pt idx="200">
                  <c:v>1.2513056367361388E-4</c:v>
                </c:pt>
                <c:pt idx="201">
                  <c:v>1.2702004778989635E-4</c:v>
                </c:pt>
                <c:pt idx="202">
                  <c:v>1.2893801640529064E-4</c:v>
                </c:pt>
                <c:pt idx="203">
                  <c:v>1.308848969473851E-4</c:v>
                </c:pt>
                <c:pt idx="204">
                  <c:v>1.3286112320332727E-4</c:v>
                </c:pt>
                <c:pt idx="205">
                  <c:v>1.3486713541314572E-4</c:v>
                </c:pt>
                <c:pt idx="206">
                  <c:v>1.369033803644301E-4</c:v>
                </c:pt>
                <c:pt idx="207">
                  <c:v>1.3897031148836709E-4</c:v>
                </c:pt>
                <c:pt idx="208">
                  <c:v>1.4106838895715446E-4</c:v>
                </c:pt>
                <c:pt idx="209">
                  <c:v>1.4319807978281309E-4</c:v>
                </c:pt>
                <c:pt idx="210">
                  <c:v>1.4535985791741459E-4</c:v>
                </c:pt>
                <c:pt idx="211">
                  <c:v>1.4755420435475113E-4</c:v>
                </c:pt>
                <c:pt idx="212">
                  <c:v>1.4978160723345295E-4</c:v>
                </c:pt>
                <c:pt idx="213">
                  <c:v>1.5204256194160205E-4</c:v>
                </c:pt>
                <c:pt idx="214">
                  <c:v>1.5433757122281755E-4</c:v>
                </c:pt>
                <c:pt idx="215">
                  <c:v>1.5666714528387085E-4</c:v>
                </c:pt>
                <c:pt idx="216">
                  <c:v>1.5903180190386253E-4</c:v>
                </c:pt>
                <c:pt idx="217">
                  <c:v>1.6143206654491179E-4</c:v>
                </c:pt>
                <c:pt idx="218">
                  <c:v>1.6386847246447402E-4</c:v>
                </c:pt>
                <c:pt idx="219">
                  <c:v>1.6634156082923835E-4</c:v>
                </c:pt>
                <c:pt idx="220">
                  <c:v>1.688518808306528E-4</c:v>
                </c:pt>
                <c:pt idx="221">
                  <c:v>1.7139998980211102E-4</c:v>
                </c:pt>
                <c:pt idx="222">
                  <c:v>1.7398645333779455E-4</c:v>
                </c:pt>
                <c:pt idx="223">
                  <c:v>1.7661184541321103E-4</c:v>
                </c:pt>
                <c:pt idx="224">
                  <c:v>1.7927674850746911E-4</c:v>
                </c:pt>
                <c:pt idx="225">
                  <c:v>1.819817537272671E-4</c:v>
                </c:pt>
                <c:pt idx="226">
                  <c:v>1.8472746093266368E-4</c:v>
                </c:pt>
                <c:pt idx="227">
                  <c:v>1.8751447886463705E-4</c:v>
                </c:pt>
                <c:pt idx="228">
                  <c:v>1.903434252744535E-4</c:v>
                </c:pt>
                <c:pt idx="229">
                  <c:v>1.9321492705486821E-4</c:v>
                </c:pt>
                <c:pt idx="230">
                  <c:v>1.9612962037320587E-4</c:v>
                </c:pt>
                <c:pt idx="231">
                  <c:v>1.9908815080631973E-4</c:v>
                </c:pt>
                <c:pt idx="232">
                  <c:v>2.0209117347746341E-4</c:v>
                </c:pt>
                <c:pt idx="233">
                  <c:v>2.0513935319511339E-4</c:v>
                </c:pt>
                <c:pt idx="234">
                  <c:v>2.0823336459374788E-4</c:v>
                </c:pt>
                <c:pt idx="235">
                  <c:v>2.1137389227663192E-4</c:v>
                </c:pt>
                <c:pt idx="236">
                  <c:v>2.1456163096061922E-4</c:v>
                </c:pt>
                <c:pt idx="237">
                  <c:v>2.1779728562299405E-4</c:v>
                </c:pt>
                <c:pt idx="238">
                  <c:v>2.2108157165040069E-4</c:v>
                </c:pt>
                <c:pt idx="239">
                  <c:v>2.2441521498987321E-4</c:v>
                </c:pt>
                <c:pt idx="240">
                  <c:v>2.2779895230202058E-4</c:v>
                </c:pt>
                <c:pt idx="241">
                  <c:v>2.3123353111632181E-4</c:v>
                </c:pt>
                <c:pt idx="242">
                  <c:v>2.3471970998867122E-4</c:v>
                </c:pt>
                <c:pt idx="243">
                  <c:v>2.3825825866110586E-4</c:v>
                </c:pt>
                <c:pt idx="244">
                  <c:v>2.4184995822381299E-4</c:v>
                </c:pt>
                <c:pt idx="245">
                  <c:v>2.4549560127939415E-4</c:v>
                </c:pt>
                <c:pt idx="246">
                  <c:v>2.4919599210945006E-4</c:v>
                </c:pt>
                <c:pt idx="247">
                  <c:v>2.5295194684353436E-4</c:v>
                </c:pt>
                <c:pt idx="248">
                  <c:v>2.5676429363043066E-4</c:v>
                </c:pt>
                <c:pt idx="249">
                  <c:v>2.6063387281189017E-4</c:v>
                </c:pt>
                <c:pt idx="250">
                  <c:v>2.6456153709879102E-4</c:v>
                </c:pt>
                <c:pt idx="251">
                  <c:v>2.6854815174973752E-4</c:v>
                </c:pt>
                <c:pt idx="252">
                  <c:v>2.7259459475222617E-4</c:v>
                </c:pt>
                <c:pt idx="253">
                  <c:v>2.767017570063109E-4</c:v>
                </c:pt>
                <c:pt idx="254">
                  <c:v>2.8087054251083629E-4</c:v>
                </c:pt>
                <c:pt idx="255">
                  <c:v>2.8510186855231043E-4</c:v>
                </c:pt>
                <c:pt idx="256">
                  <c:v>2.8939666589639394E-4</c:v>
                </c:pt>
                <c:pt idx="257">
                  <c:v>2.9375587898208068E-4</c:v>
                </c:pt>
                <c:pt idx="258">
                  <c:v>2.9818046611859565E-4</c:v>
                </c:pt>
                <c:pt idx="259">
                  <c:v>3.0267139968501514E-4</c:v>
                </c:pt>
                <c:pt idx="260">
                  <c:v>3.0722966633271265E-4</c:v>
                </c:pt>
                <c:pt idx="261">
                  <c:v>3.1185626719061908E-4</c:v>
                </c:pt>
                <c:pt idx="262">
                  <c:v>3.1655221807330226E-4</c:v>
                </c:pt>
                <c:pt idx="263">
                  <c:v>3.213185496920207E-4</c:v>
                </c:pt>
                <c:pt idx="264">
                  <c:v>3.261563078686393E-4</c:v>
                </c:pt>
                <c:pt idx="265">
                  <c:v>3.3106655375258012E-4</c:v>
                </c:pt>
                <c:pt idx="266">
                  <c:v>3.360503640407677E-4</c:v>
                </c:pt>
                <c:pt idx="267">
                  <c:v>3.4110883120061248E-4</c:v>
                </c:pt>
                <c:pt idx="268">
                  <c:v>3.4624306369611195E-4</c:v>
                </c:pt>
                <c:pt idx="269">
                  <c:v>3.5145418621709498E-4</c:v>
                </c:pt>
                <c:pt idx="270">
                  <c:v>3.5674333991164562E-4</c:v>
                </c:pt>
                <c:pt idx="271">
                  <c:v>3.6211168262169667E-4</c:v>
                </c:pt>
                <c:pt idx="272">
                  <c:v>3.6756038912196513E-4</c:v>
                </c:pt>
                <c:pt idx="273">
                  <c:v>3.7309065136214724E-4</c:v>
                </c:pt>
                <c:pt idx="274">
                  <c:v>3.7870367871245623E-4</c:v>
                </c:pt>
                <c:pt idx="275">
                  <c:v>3.844006982125986E-4</c:v>
                </c:pt>
                <c:pt idx="276">
                  <c:v>3.9018295482410676E-4</c:v>
                </c:pt>
                <c:pt idx="277">
                  <c:v>3.960517116862707E-4</c:v>
                </c:pt>
                <c:pt idx="278">
                  <c:v>4.0200825037547603E-4</c:v>
                </c:pt>
                <c:pt idx="279">
                  <c:v>4.0805387116821506E-4</c:v>
                </c:pt>
                <c:pt idx="280">
                  <c:v>4.1418989330763677E-4</c:v>
                </c:pt>
                <c:pt idx="281">
                  <c:v>4.2041765527385359E-4</c:v>
                </c:pt>
                <c:pt idx="282">
                  <c:v>4.2673851505785744E-4</c:v>
                </c:pt>
                <c:pt idx="283">
                  <c:v>4.3315385043932349E-4</c:v>
                </c:pt>
                <c:pt idx="284">
                  <c:v>4.3966505926809488E-4</c:v>
                </c:pt>
                <c:pt idx="285">
                  <c:v>4.4627355974965734E-4</c:v>
                </c:pt>
                <c:pt idx="286">
                  <c:v>4.5298079073441281E-4</c:v>
                </c:pt>
                <c:pt idx="287">
                  <c:v>4.5978821201100758E-4</c:v>
                </c:pt>
                <c:pt idx="288">
                  <c:v>4.66697304603614E-4</c:v>
                </c:pt>
                <c:pt idx="289">
                  <c:v>4.7370957107330328E-4</c:v>
                </c:pt>
                <c:pt idx="290">
                  <c:v>4.8082653582353133E-4</c:v>
                </c:pt>
                <c:pt idx="291">
                  <c:v>4.8804974540980702E-4</c:v>
                </c:pt>
                <c:pt idx="292">
                  <c:v>4.9538076885357143E-4</c:v>
                </c:pt>
                <c:pt idx="293">
                  <c:v>5.0282119796035533E-4</c:v>
                </c:pt>
                <c:pt idx="294">
                  <c:v>5.10372647642276E-4</c:v>
                </c:pt>
                <c:pt idx="295">
                  <c:v>5.1803675624493466E-4</c:v>
                </c:pt>
                <c:pt idx="296">
                  <c:v>5.258151858787255E-4</c:v>
                </c:pt>
                <c:pt idx="297">
                  <c:v>5.337096227546992E-4</c:v>
                </c:pt>
                <c:pt idx="298">
                  <c:v>5.4172177752492595E-4</c:v>
                </c:pt>
                <c:pt idx="299">
                  <c:v>5.4985338562754606E-4</c:v>
                </c:pt>
                <c:pt idx="300">
                  <c:v>5.5810620763641506E-4</c:v>
                </c:pt>
                <c:pt idx="301">
                  <c:v>5.6648202961555739E-4</c:v>
                </c:pt>
                <c:pt idx="302">
                  <c:v>5.7498266347836473E-4</c:v>
                </c:pt>
                <c:pt idx="303">
                  <c:v>5.8360994735170502E-4</c:v>
                </c:pt>
                <c:pt idx="304">
                  <c:v>5.9236574594487734E-4</c:v>
                </c:pt>
                <c:pt idx="305">
                  <c:v>6.0125195092361548E-4</c:v>
                </c:pt>
                <c:pt idx="306">
                  <c:v>6.1027048128909213E-4</c:v>
                </c:pt>
                <c:pt idx="307">
                  <c:v>6.1942328376206779E-4</c:v>
                </c:pt>
                <c:pt idx="308">
                  <c:v>6.2871233317212815E-4</c:v>
                </c:pt>
                <c:pt idx="309">
                  <c:v>6.3813963285230097E-4</c:v>
                </c:pt>
                <c:pt idx="310">
                  <c:v>6.4770721503879653E-4</c:v>
                </c:pt>
                <c:pt idx="311">
                  <c:v>6.5741714127626747E-4</c:v>
                </c:pt>
                <c:pt idx="312">
                  <c:v>6.6727150282843122E-4</c:v>
                </c:pt>
                <c:pt idx="313">
                  <c:v>6.7727242109421465E-4</c:v>
                </c:pt>
                <c:pt idx="314">
                  <c:v>6.8742204802942108E-4</c:v>
                </c:pt>
                <c:pt idx="315">
                  <c:v>6.9772256657413354E-4</c:v>
                </c:pt>
                <c:pt idx="316">
                  <c:v>7.0817619108571044E-4</c:v>
                </c:pt>
                <c:pt idx="317">
                  <c:v>7.1878516777770048E-4</c:v>
                </c:pt>
                <c:pt idx="318">
                  <c:v>7.2955177516448473E-4</c:v>
                </c:pt>
                <c:pt idx="319">
                  <c:v>7.4047832451190881E-4</c:v>
                </c:pt>
                <c:pt idx="320">
                  <c:v>7.515671602938861E-4</c:v>
                </c:pt>
                <c:pt idx="321">
                  <c:v>7.6282066065509486E-4</c:v>
                </c:pt>
                <c:pt idx="322">
                  <c:v>7.7424123787985433E-4</c:v>
                </c:pt>
                <c:pt idx="323">
                  <c:v>7.8583133886709808E-4</c:v>
                </c:pt>
                <c:pt idx="324">
                  <c:v>7.9759344561179039E-4</c:v>
                </c:pt>
                <c:pt idx="325">
                  <c:v>8.0953007569266571E-4</c:v>
                </c:pt>
                <c:pt idx="326">
                  <c:v>8.2164378276636957E-4</c:v>
                </c:pt>
                <c:pt idx="327">
                  <c:v>8.3393715706822364E-4</c:v>
                </c:pt>
                <c:pt idx="328">
                  <c:v>8.464128259195277E-4</c:v>
                </c:pt>
                <c:pt idx="329">
                  <c:v>8.5907345424155747E-4</c:v>
                </c:pt>
                <c:pt idx="330">
                  <c:v>8.7192174507643339E-4</c:v>
                </c:pt>
                <c:pt idx="331">
                  <c:v>8.8496044011474734E-4</c:v>
                </c:pt>
                <c:pt idx="332">
                  <c:v>8.9819232023007078E-4</c:v>
                </c:pt>
                <c:pt idx="333">
                  <c:v>9.1162020602069999E-4</c:v>
                </c:pt>
                <c:pt idx="334">
                  <c:v>9.2524695835827871E-4</c:v>
                </c:pt>
                <c:pt idx="335">
                  <c:v>9.3907547894374625E-4</c:v>
                </c:pt>
                <c:pt idx="336">
                  <c:v>9.5310871087053359E-4</c:v>
                </c:pt>
                <c:pt idx="337">
                  <c:v>9.6734963919508504E-4</c:v>
                </c:pt>
                <c:pt idx="338">
                  <c:v>9.8180129151493548E-4</c:v>
                </c:pt>
                <c:pt idx="339">
                  <c:v>9.9646673855417213E-4</c:v>
                </c:pt>
                <c:pt idx="340">
                  <c:v>1.0113490947566859E-3</c:v>
                </c:pt>
                <c:pt idx="341">
                  <c:v>1.0264515188870866E-3</c:v>
                </c:pt>
                <c:pt idx="342">
                  <c:v>1.0417772146393731E-3</c:v>
                </c:pt>
                <c:pt idx="343">
                  <c:v>1.0573294312535783E-3</c:v>
                </c:pt>
                <c:pt idx="344">
                  <c:v>1.073111464140467E-3</c:v>
                </c:pt>
                <c:pt idx="345">
                  <c:v>1.089126655514183E-3</c:v>
                </c:pt>
                <c:pt idx="346">
                  <c:v>1.1053783950331576E-3</c:v>
                </c:pt>
                <c:pt idx="347">
                  <c:v>1.1218701204494309E-3</c:v>
                </c:pt>
                <c:pt idx="348">
                  <c:v>1.1386053182660784E-3</c:v>
                </c:pt>
                <c:pt idx="349">
                  <c:v>1.1555875244034244E-3</c:v>
                </c:pt>
                <c:pt idx="350">
                  <c:v>1.172820324873585E-3</c:v>
                </c:pt>
                <c:pt idx="351">
                  <c:v>1.1903073564638799E-3</c:v>
                </c:pt>
                <c:pt idx="352">
                  <c:v>1.2080523074288682E-3</c:v>
                </c:pt>
                <c:pt idx="353">
                  <c:v>1.2260589181913798E-3</c:v>
                </c:pt>
                <c:pt idx="354">
                  <c:v>1.2443309820525474E-3</c:v>
                </c:pt>
                <c:pt idx="355">
                  <c:v>1.2628723459107913E-3</c:v>
                </c:pt>
                <c:pt idx="356">
                  <c:v>1.2816869109901229E-3</c:v>
                </c:pt>
                <c:pt idx="357">
                  <c:v>1.3007786335776964E-3</c:v>
                </c:pt>
                <c:pt idx="358">
                  <c:v>1.3201515257707727E-3</c:v>
                </c:pt>
                <c:pt idx="359">
                  <c:v>1.3398096562332832E-3</c:v>
                </c:pt>
                <c:pt idx="360">
                  <c:v>1.3597571509617937E-3</c:v>
                </c:pt>
                <c:pt idx="361">
                  <c:v>1.3799981940614818E-3</c:v>
                </c:pt>
                <c:pt idx="362">
                  <c:v>1.4005370285316799E-3</c:v>
                </c:pt>
                <c:pt idx="363">
                  <c:v>1.4213779570616397E-3</c:v>
                </c:pt>
                <c:pt idx="364">
                  <c:v>1.4425253428361538E-3</c:v>
                </c:pt>
                <c:pt idx="365">
                  <c:v>1.4639836103514505E-3</c:v>
                </c:pt>
                <c:pt idx="366">
                  <c:v>1.4857572462413883E-3</c:v>
                </c:pt>
                <c:pt idx="367">
                  <c:v>1.5078508001139352E-3</c:v>
                </c:pt>
                <c:pt idx="368">
                  <c:v>1.5302688853984607E-3</c:v>
                </c:pt>
                <c:pt idx="369">
                  <c:v>1.5530161802033103E-3</c:v>
                </c:pt>
                <c:pt idx="370">
                  <c:v>1.5760974281844307E-3</c:v>
                </c:pt>
                <c:pt idx="371">
                  <c:v>1.5995174394246034E-3</c:v>
                </c:pt>
                <c:pt idx="372">
                  <c:v>1.6232810913240367E-3</c:v>
                </c:pt>
                <c:pt idx="373">
                  <c:v>1.6473933295017785E-3</c:v>
                </c:pt>
                <c:pt idx="374">
                  <c:v>1.67185916870841E-3</c:v>
                </c:pt>
                <c:pt idx="375">
                  <c:v>1.6966836937502758E-3</c:v>
                </c:pt>
                <c:pt idx="376">
                  <c:v>1.7218720604250117E-3</c:v>
                </c:pt>
                <c:pt idx="377">
                  <c:v>1.7474294964688099E-3</c:v>
                </c:pt>
                <c:pt idx="378">
                  <c:v>1.7733613025154146E-3</c:v>
                </c:pt>
                <c:pt idx="379">
                  <c:v>1.7996728530669198E-3</c:v>
                </c:pt>
                <c:pt idx="380">
                  <c:v>1.8263695974766612E-3</c:v>
                </c:pt>
                <c:pt idx="381">
                  <c:v>1.8534570609441046E-3</c:v>
                </c:pt>
                <c:pt idx="382">
                  <c:v>1.8809408455221278E-3</c:v>
                </c:pt>
                <c:pt idx="383">
                  <c:v>1.9088266311366475E-3</c:v>
                </c:pt>
                <c:pt idx="384">
                  <c:v>1.9371201766187451E-3</c:v>
                </c:pt>
                <c:pt idx="385">
                  <c:v>1.9658273207493497E-3</c:v>
                </c:pt>
                <c:pt idx="386">
                  <c:v>1.9949539833170175E-3</c:v>
                </c:pt>
                <c:pt idx="387">
                  <c:v>2.0245061661882681E-3</c:v>
                </c:pt>
                <c:pt idx="388">
                  <c:v>2.0544899543911907E-3</c:v>
                </c:pt>
                <c:pt idx="389">
                  <c:v>2.084911517212205E-3</c:v>
                </c:pt>
                <c:pt idx="390">
                  <c:v>2.1157771093062109E-3</c:v>
                </c:pt>
                <c:pt idx="391">
                  <c:v>2.1470930718199854E-3</c:v>
                </c:pt>
                <c:pt idx="392">
                  <c:v>2.1788658335296007E-3</c:v>
                </c:pt>
                <c:pt idx="393">
                  <c:v>2.2111019119911307E-3</c:v>
                </c:pt>
                <c:pt idx="394">
                  <c:v>2.2438079147056086E-3</c:v>
                </c:pt>
                <c:pt idx="395">
                  <c:v>2.2769905402978716E-3</c:v>
                </c:pt>
                <c:pt idx="396">
                  <c:v>2.3106565797095546E-3</c:v>
                </c:pt>
                <c:pt idx="397">
                  <c:v>2.3448129174065283E-3</c:v>
                </c:pt>
                <c:pt idx="398">
                  <c:v>2.3794665326008174E-3</c:v>
                </c:pt>
                <c:pt idx="399">
                  <c:v>2.414624500486795E-3</c:v>
                </c:pt>
                <c:pt idx="400">
                  <c:v>2.4502939934927938E-3</c:v>
                </c:pt>
                <c:pt idx="401">
                  <c:v>2.4864822825469398E-3</c:v>
                </c:pt>
                <c:pt idx="402">
                  <c:v>2.5231967383585602E-3</c:v>
                </c:pt>
                <c:pt idx="403">
                  <c:v>2.5604448327145634E-3</c:v>
                </c:pt>
                <c:pt idx="404">
                  <c:v>2.5982341397910872E-3</c:v>
                </c:pt>
                <c:pt idx="405">
                  <c:v>2.636572337481124E-3</c:v>
                </c:pt>
                <c:pt idx="406">
                  <c:v>2.6754672087371941E-3</c:v>
                </c:pt>
                <c:pt idx="407">
                  <c:v>2.7149266429302532E-3</c:v>
                </c:pt>
                <c:pt idx="408">
                  <c:v>2.7549586372245531E-3</c:v>
                </c:pt>
                <c:pt idx="409">
                  <c:v>2.7955712979684669E-3</c:v>
                </c:pt>
                <c:pt idx="410">
                  <c:v>2.8367728421016584E-3</c:v>
                </c:pt>
                <c:pt idx="411">
                  <c:v>2.8785715985788314E-3</c:v>
                </c:pt>
                <c:pt idx="412">
                  <c:v>2.920976009809925E-3</c:v>
                </c:pt>
                <c:pt idx="413">
                  <c:v>2.9639946331170624E-3</c:v>
                </c:pt>
                <c:pt idx="414">
                  <c:v>3.007636142208627E-3</c:v>
                </c:pt>
                <c:pt idx="415">
                  <c:v>3.0519093286700415E-3</c:v>
                </c:pt>
                <c:pt idx="416">
                  <c:v>3.0968231034723104E-3</c:v>
                </c:pt>
                <c:pt idx="417">
                  <c:v>3.1423864984974101E-3</c:v>
                </c:pt>
                <c:pt idx="418">
                  <c:v>3.1886086680815626E-3</c:v>
                </c:pt>
                <c:pt idx="419">
                  <c:v>3.2354988905762398E-3</c:v>
                </c:pt>
                <c:pt idx="420">
                  <c:v>3.283066569926951E-3</c:v>
                </c:pt>
                <c:pt idx="421">
                  <c:v>3.3313212372701692E-3</c:v>
                </c:pt>
                <c:pt idx="422">
                  <c:v>3.3802725525482365E-3</c:v>
                </c:pt>
                <c:pt idx="423">
                  <c:v>3.4299303061430045E-3</c:v>
                </c:pt>
                <c:pt idx="424">
                  <c:v>3.4803044205278587E-3</c:v>
                </c:pt>
                <c:pt idx="425">
                  <c:v>3.5314049519383824E-3</c:v>
                </c:pt>
                <c:pt idx="426">
                  <c:v>3.5832420920618594E-3</c:v>
                </c:pt>
                <c:pt idx="427">
                  <c:v>3.6358261697462414E-3</c:v>
                </c:pt>
                <c:pt idx="428">
                  <c:v>3.6891676527276407E-3</c:v>
                </c:pt>
                <c:pt idx="429">
                  <c:v>3.7432771493778392E-3</c:v>
                </c:pt>
                <c:pt idx="430">
                  <c:v>3.7981654104709758E-3</c:v>
                </c:pt>
                <c:pt idx="431">
                  <c:v>3.8538433309700717E-3</c:v>
                </c:pt>
                <c:pt idx="432">
                  <c:v>3.910321951833425E-3</c:v>
                </c:pt>
                <c:pt idx="433">
                  <c:v>3.96761246184119E-3</c:v>
                </c:pt>
                <c:pt idx="434">
                  <c:v>4.0257261994418236E-3</c:v>
                </c:pt>
                <c:pt idx="435">
                  <c:v>4.0846746546193222E-3</c:v>
                </c:pt>
                <c:pt idx="436">
                  <c:v>4.1444694707808019E-3</c:v>
                </c:pt>
                <c:pt idx="437">
                  <c:v>4.205122446665043E-3</c:v>
                </c:pt>
                <c:pt idx="438">
                  <c:v>4.2666455382714729E-3</c:v>
                </c:pt>
                <c:pt idx="439">
                  <c:v>4.3290508608108342E-3</c:v>
                </c:pt>
                <c:pt idx="440">
                  <c:v>4.3923506906765001E-3</c:v>
                </c:pt>
                <c:pt idx="441">
                  <c:v>4.4565574674378132E-3</c:v>
                </c:pt>
                <c:pt idx="442">
                  <c:v>4.5216837958544703E-3</c:v>
                </c:pt>
                <c:pt idx="443">
                  <c:v>4.5877424479129495E-3</c:v>
                </c:pt>
                <c:pt idx="444">
                  <c:v>4.6547463648849031E-3</c:v>
                </c:pt>
                <c:pt idx="445">
                  <c:v>4.7227086594074227E-3</c:v>
                </c:pt>
                <c:pt idx="446">
                  <c:v>4.7916426175858978E-3</c:v>
                </c:pt>
                <c:pt idx="447">
                  <c:v>4.8615617011189896E-3</c:v>
                </c:pt>
                <c:pt idx="448">
                  <c:v>4.9324795494462741E-3</c:v>
                </c:pt>
                <c:pt idx="449">
                  <c:v>5.0044099819191688E-3</c:v>
                </c:pt>
                <c:pt idx="450">
                  <c:v>5.0773669999939017E-3</c:v>
                </c:pt>
                <c:pt idx="451">
                  <c:v>5.1513647894482996E-3</c:v>
                </c:pt>
                <c:pt idx="452">
                  <c:v>5.2264177226217581E-3</c:v>
                </c:pt>
                <c:pt idx="453">
                  <c:v>5.3025403606783835E-3</c:v>
                </c:pt>
                <c:pt idx="454">
                  <c:v>5.3797474558941183E-3</c:v>
                </c:pt>
                <c:pt idx="455">
                  <c:v>5.4580539539673539E-3</c:v>
                </c:pt>
                <c:pt idx="456">
                  <c:v>5.5374749963536408E-3</c:v>
                </c:pt>
                <c:pt idx="457">
                  <c:v>5.6180259226243819E-3</c:v>
                </c:pt>
                <c:pt idx="458">
                  <c:v>5.6997222728503907E-3</c:v>
                </c:pt>
                <c:pt idx="459">
                  <c:v>5.7825797900087975E-3</c:v>
                </c:pt>
                <c:pt idx="460">
                  <c:v>5.8666144224158584E-3</c:v>
                </c:pt>
                <c:pt idx="461">
                  <c:v>5.9518423261833127E-3</c:v>
                </c:pt>
                <c:pt idx="462">
                  <c:v>6.0382798677006393E-3</c:v>
                </c:pt>
                <c:pt idx="463">
                  <c:v>6.1259436261419577E-3</c:v>
                </c:pt>
                <c:pt idx="464">
                  <c:v>6.2148503959982664E-3</c:v>
                </c:pt>
                <c:pt idx="465">
                  <c:v>6.3050171896349167E-3</c:v>
                </c:pt>
                <c:pt idx="466">
                  <c:v>6.3964612398750877E-3</c:v>
                </c:pt>
                <c:pt idx="467">
                  <c:v>6.4892000026085632E-3</c:v>
                </c:pt>
                <c:pt idx="468">
                  <c:v>6.5832511594265839E-3</c:v>
                </c:pt>
                <c:pt idx="469">
                  <c:v>6.6786326202827144E-3</c:v>
                </c:pt>
                <c:pt idx="470">
                  <c:v>6.7753625261798905E-3</c:v>
                </c:pt>
                <c:pt idx="471">
                  <c:v>6.8734592518837926E-3</c:v>
                </c:pt>
                <c:pt idx="472">
                  <c:v>6.9729414086625238E-3</c:v>
                </c:pt>
                <c:pt idx="473">
                  <c:v>7.0738278470532457E-3</c:v>
                </c:pt>
                <c:pt idx="474">
                  <c:v>7.1761376596554231E-3</c:v>
                </c:pt>
                <c:pt idx="475">
                  <c:v>7.2798901839508205E-3</c:v>
                </c:pt>
                <c:pt idx="476">
                  <c:v>7.3851050051508974E-3</c:v>
                </c:pt>
                <c:pt idx="477">
                  <c:v>7.4918019590708932E-3</c:v>
                </c:pt>
                <c:pt idx="478">
                  <c:v>7.6000011350315045E-3</c:v>
                </c:pt>
                <c:pt idx="479">
                  <c:v>7.7097228787886352E-3</c:v>
                </c:pt>
                <c:pt idx="480">
                  <c:v>7.8209877954891552E-3</c:v>
                </c:pt>
                <c:pt idx="481">
                  <c:v>7.9338167526560501E-3</c:v>
                </c:pt>
                <c:pt idx="482">
                  <c:v>8.0482308832005682E-3</c:v>
                </c:pt>
                <c:pt idx="483">
                  <c:v>8.1642515884620282E-3</c:v>
                </c:pt>
                <c:pt idx="484">
                  <c:v>8.2819005412765722E-3</c:v>
                </c:pt>
                <c:pt idx="485">
                  <c:v>8.4011996890735793E-3</c:v>
                </c:pt>
                <c:pt idx="486">
                  <c:v>8.5221712569999702E-3</c:v>
                </c:pt>
                <c:pt idx="487">
                  <c:v>8.6448377510743406E-3</c:v>
                </c:pt>
                <c:pt idx="488">
                  <c:v>8.76922196136754E-3</c:v>
                </c:pt>
                <c:pt idx="489">
                  <c:v>8.895346965214046E-3</c:v>
                </c:pt>
                <c:pt idx="490">
                  <c:v>9.0232361304504963E-3</c:v>
                </c:pt>
                <c:pt idx="491">
                  <c:v>9.1529131186834176E-3</c:v>
                </c:pt>
                <c:pt idx="492">
                  <c:v>9.2844018885865024E-3</c:v>
                </c:pt>
                <c:pt idx="493">
                  <c:v>9.4177266992263621E-3</c:v>
                </c:pt>
                <c:pt idx="494">
                  <c:v>9.5529121134169896E-3</c:v>
                </c:pt>
                <c:pt idx="495">
                  <c:v>9.6899830011041715E-3</c:v>
                </c:pt>
                <c:pt idx="496">
                  <c:v>9.828964542778729E-3</c:v>
                </c:pt>
                <c:pt idx="497">
                  <c:v>9.9698822329188554E-3</c:v>
                </c:pt>
                <c:pt idx="498">
                  <c:v>1.0112761883462835E-2</c:v>
                </c:pt>
                <c:pt idx="499">
                  <c:v>1.0257629627309443E-2</c:v>
                </c:pt>
                <c:pt idx="500">
                  <c:v>1.0404511921849676E-2</c:v>
                </c:pt>
                <c:pt idx="501">
                  <c:v>1.0553435552526823E-2</c:v>
                </c:pt>
                <c:pt idx="502">
                  <c:v>1.0704427636426952E-2</c:v>
                </c:pt>
                <c:pt idx="503">
                  <c:v>1.0857515625898154E-2</c:v>
                </c:pt>
                <c:pt idx="504">
                  <c:v>1.1012727312200019E-2</c:v>
                </c:pt>
                <c:pt idx="505">
                  <c:v>1.1170090829183091E-2</c:v>
                </c:pt>
                <c:pt idx="506">
                  <c:v>1.1329634656997359E-2</c:v>
                </c:pt>
                <c:pt idx="507">
                  <c:v>1.1491387625830973E-2</c:v>
                </c:pt>
                <c:pt idx="508">
                  <c:v>1.16553789196787E-2</c:v>
                </c:pt>
                <c:pt idx="509">
                  <c:v>1.1821638080139477E-2</c:v>
                </c:pt>
                <c:pt idx="510">
                  <c:v>1.1990195010245302E-2</c:v>
                </c:pt>
                <c:pt idx="511">
                  <c:v>1.2161079978317951E-2</c:v>
                </c:pt>
                <c:pt idx="512">
                  <c:v>1.2334323621856916E-2</c:v>
                </c:pt>
                <c:pt idx="513">
                  <c:v>1.2509956951456451E-2</c:v>
                </c:pt>
                <c:pt idx="514">
                  <c:v>1.268801135475218E-2</c:v>
                </c:pt>
                <c:pt idx="515">
                  <c:v>1.2868518600397715E-2</c:v>
                </c:pt>
                <c:pt idx="516">
                  <c:v>1.3051510842071127E-2</c:v>
                </c:pt>
                <c:pt idx="517">
                  <c:v>1.3237020622510122E-2</c:v>
                </c:pt>
                <c:pt idx="518">
                  <c:v>1.3425080877577746E-2</c:v>
                </c:pt>
                <c:pt idx="519">
                  <c:v>1.361572494035658E-2</c:v>
                </c:pt>
                <c:pt idx="520">
                  <c:v>1.3808986545273606E-2</c:v>
                </c:pt>
                <c:pt idx="521">
                  <c:v>1.4004899832252159E-2</c:v>
                </c:pt>
                <c:pt idx="522">
                  <c:v>1.420349935089619E-2</c:v>
                </c:pt>
                <c:pt idx="523">
                  <c:v>1.4404820064700915E-2</c:v>
                </c:pt>
                <c:pt idx="524">
                  <c:v>1.4608897355293129E-2</c:v>
                </c:pt>
                <c:pt idx="525">
                  <c:v>1.4815767026701648E-2</c:v>
                </c:pt>
                <c:pt idx="526">
                  <c:v>1.5025465309655504E-2</c:v>
                </c:pt>
                <c:pt idx="527">
                  <c:v>1.523802886590993E-2</c:v>
                </c:pt>
                <c:pt idx="528">
                  <c:v>1.5453494792602499E-2</c:v>
                </c:pt>
                <c:pt idx="529">
                  <c:v>1.5671900626636464E-2</c:v>
                </c:pt>
                <c:pt idx="530">
                  <c:v>1.589328434909279E-2</c:v>
                </c:pt>
                <c:pt idx="531">
                  <c:v>1.6117684389669321E-2</c:v>
                </c:pt>
                <c:pt idx="532">
                  <c:v>1.6345139631148701E-2</c:v>
                </c:pt>
                <c:pt idx="533">
                  <c:v>1.6575689413892997E-2</c:v>
                </c:pt>
                <c:pt idx="534">
                  <c:v>1.6809373540366674E-2</c:v>
                </c:pt>
                <c:pt idx="535">
                  <c:v>1.7046232279685186E-2</c:v>
                </c:pt>
                <c:pt idx="536">
                  <c:v>1.7286306372192188E-2</c:v>
                </c:pt>
                <c:pt idx="537">
                  <c:v>1.7529637034061657E-2</c:v>
                </c:pt>
                <c:pt idx="538">
                  <c:v>1.7776265961927967E-2</c:v>
                </c:pt>
                <c:pt idx="539">
                  <c:v>1.8026235337540442E-2</c:v>
                </c:pt>
                <c:pt idx="540">
                  <c:v>1.8279587832445262E-2</c:v>
                </c:pt>
                <c:pt idx="541">
                  <c:v>1.8536366612691691E-2</c:v>
                </c:pt>
                <c:pt idx="542">
                  <c:v>1.8796615343564367E-2</c:v>
                </c:pt>
                <c:pt idx="543">
                  <c:v>1.9060378194338947E-2</c:v>
                </c:pt>
                <c:pt idx="544">
                  <c:v>1.9327699843064698E-2</c:v>
                </c:pt>
                <c:pt idx="545">
                  <c:v>1.9598625481368391E-2</c:v>
                </c:pt>
                <c:pt idx="546">
                  <c:v>1.98732008192847E-2</c:v>
                </c:pt>
                <c:pt idx="547">
                  <c:v>2.0151472090107689E-2</c:v>
                </c:pt>
                <c:pt idx="548">
                  <c:v>2.0433486055266049E-2</c:v>
                </c:pt>
                <c:pt idx="549">
                  <c:v>2.071929000922176E-2</c:v>
                </c:pt>
                <c:pt idx="550">
                  <c:v>2.1008931784390027E-2</c:v>
                </c:pt>
                <c:pt idx="551">
                  <c:v>2.1302459756080444E-2</c:v>
                </c:pt>
                <c:pt idx="552">
                  <c:v>2.1599922847460387E-2</c:v>
                </c:pt>
                <c:pt idx="553">
                  <c:v>2.1901370534537636E-2</c:v>
                </c:pt>
                <c:pt idx="554">
                  <c:v>2.2206852851165731E-2</c:v>
                </c:pt>
                <c:pt idx="555">
                  <c:v>2.2516420394065768E-2</c:v>
                </c:pt>
                <c:pt idx="556">
                  <c:v>2.2830124327870221E-2</c:v>
                </c:pt>
                <c:pt idx="557">
                  <c:v>2.3148016390182598E-2</c:v>
                </c:pt>
                <c:pt idx="558">
                  <c:v>2.3470148896657932E-2</c:v>
                </c:pt>
                <c:pt idx="559">
                  <c:v>2.3796574746098507E-2</c:v>
                </c:pt>
                <c:pt idx="560">
                  <c:v>2.4127347425566426E-2</c:v>
                </c:pt>
                <c:pt idx="561">
                  <c:v>2.4462521015514799E-2</c:v>
                </c:pt>
                <c:pt idx="562">
                  <c:v>2.4802150194930685E-2</c:v>
                </c:pt>
                <c:pt idx="563">
                  <c:v>2.5146290246495312E-2</c:v>
                </c:pt>
                <c:pt idx="564">
                  <c:v>2.5494997061758187E-2</c:v>
                </c:pt>
                <c:pt idx="565">
                  <c:v>2.5848327146323225E-2</c:v>
                </c:pt>
                <c:pt idx="566">
                  <c:v>2.6206337625050018E-2</c:v>
                </c:pt>
                <c:pt idx="567">
                  <c:v>2.6569086247263295E-2</c:v>
                </c:pt>
                <c:pt idx="568">
                  <c:v>2.6936631391977148E-2</c:v>
                </c:pt>
                <c:pt idx="569">
                  <c:v>2.730903207312654E-2</c:v>
                </c:pt>
                <c:pt idx="570">
                  <c:v>2.7686347944811375E-2</c:v>
                </c:pt>
                <c:pt idx="571">
                  <c:v>2.8068639306545254E-2</c:v>
                </c:pt>
                <c:pt idx="572">
                  <c:v>2.8455967108515466E-2</c:v>
                </c:pt>
                <c:pt idx="573">
                  <c:v>2.8848392956848292E-2</c:v>
                </c:pt>
                <c:pt idx="574">
                  <c:v>2.9245979118878763E-2</c:v>
                </c:pt>
                <c:pt idx="575">
                  <c:v>2.9648788528428702E-2</c:v>
                </c:pt>
                <c:pt idx="576">
                  <c:v>3.0056884791084457E-2</c:v>
                </c:pt>
                <c:pt idx="577">
                  <c:v>3.0470332189481784E-2</c:v>
                </c:pt>
                <c:pt idx="578">
                  <c:v>3.088919568858883E-2</c:v>
                </c:pt>
                <c:pt idx="579">
                  <c:v>3.1313540940993208E-2</c:v>
                </c:pt>
                <c:pt idx="580">
                  <c:v>3.1743434292185298E-2</c:v>
                </c:pt>
                <c:pt idx="581">
                  <c:v>3.2178942785844052E-2</c:v>
                </c:pt>
                <c:pt idx="582">
                  <c:v>3.2620134169115841E-2</c:v>
                </c:pt>
                <c:pt idx="583">
                  <c:v>3.3067076897894343E-2</c:v>
                </c:pt>
                <c:pt idx="584">
                  <c:v>3.351984014209073E-2</c:v>
                </c:pt>
                <c:pt idx="585">
                  <c:v>3.3978493790901496E-2</c:v>
                </c:pt>
                <c:pt idx="586">
                  <c:v>3.4443108458066675E-2</c:v>
                </c:pt>
                <c:pt idx="587">
                  <c:v>3.4913755487119787E-2</c:v>
                </c:pt>
                <c:pt idx="588">
                  <c:v>3.5390506956628001E-2</c:v>
                </c:pt>
                <c:pt idx="589">
                  <c:v>3.5873435685420306E-2</c:v>
                </c:pt>
                <c:pt idx="590">
                  <c:v>3.6362615237803993E-2</c:v>
                </c:pt>
                <c:pt idx="591">
                  <c:v>3.6858119928764727E-2</c:v>
                </c:pt>
                <c:pt idx="592">
                  <c:v>3.73600248291533E-2</c:v>
                </c:pt>
                <c:pt idx="593">
                  <c:v>3.7868405770854117E-2</c:v>
                </c:pt>
                <c:pt idx="594">
                  <c:v>3.8383339351932597E-2</c:v>
                </c:pt>
                <c:pt idx="595">
                  <c:v>3.8904902941768911E-2</c:v>
                </c:pt>
                <c:pt idx="596">
                  <c:v>3.9433174686160498E-2</c:v>
                </c:pt>
                <c:pt idx="597">
                  <c:v>3.9968233512409329E-2</c:v>
                </c:pt>
                <c:pt idx="598">
                  <c:v>4.0510159134379581E-2</c:v>
                </c:pt>
                <c:pt idx="599">
                  <c:v>4.1059032057529497E-2</c:v>
                </c:pt>
                <c:pt idx="600">
                  <c:v>4.1614933583912966E-2</c:v>
                </c:pt>
                <c:pt idx="601">
                  <c:v>4.2177945817155241E-2</c:v>
                </c:pt>
                <c:pt idx="602">
                  <c:v>4.2748151667389572E-2</c:v>
                </c:pt>
                <c:pt idx="603">
                  <c:v>4.3325634856167368E-2</c:v>
                </c:pt>
                <c:pt idx="604">
                  <c:v>4.3910479921324776E-2</c:v>
                </c:pt>
                <c:pt idx="605">
                  <c:v>4.4502772221816936E-2</c:v>
                </c:pt>
                <c:pt idx="606">
                  <c:v>4.5102597942510481E-2</c:v>
                </c:pt>
                <c:pt idx="607">
                  <c:v>4.5710044098932152E-2</c:v>
                </c:pt>
                <c:pt idx="608">
                  <c:v>4.6325198541976614E-2</c:v>
                </c:pt>
                <c:pt idx="609">
                  <c:v>4.6948149962567465E-2</c:v>
                </c:pt>
                <c:pt idx="610">
                  <c:v>4.7578987896265253E-2</c:v>
                </c:pt>
                <c:pt idx="611">
                  <c:v>4.8217802727834227E-2</c:v>
                </c:pt>
                <c:pt idx="612">
                  <c:v>4.886468569574702E-2</c:v>
                </c:pt>
                <c:pt idx="613">
                  <c:v>4.9519728896640636E-2</c:v>
                </c:pt>
                <c:pt idx="614">
                  <c:v>5.0183025289711448E-2</c:v>
                </c:pt>
                <c:pt idx="615">
                  <c:v>5.0854668701054463E-2</c:v>
                </c:pt>
                <c:pt idx="616">
                  <c:v>5.1534753827935056E-2</c:v>
                </c:pt>
                <c:pt idx="617">
                  <c:v>5.2223376243002689E-2</c:v>
                </c:pt>
                <c:pt idx="618">
                  <c:v>5.2920632398431047E-2</c:v>
                </c:pt>
                <c:pt idx="619">
                  <c:v>5.3626619629994647E-2</c:v>
                </c:pt>
                <c:pt idx="620">
                  <c:v>5.43414361610692E-2</c:v>
                </c:pt>
                <c:pt idx="621">
                  <c:v>5.5065181106557337E-2</c:v>
                </c:pt>
                <c:pt idx="622">
                  <c:v>5.5797954476740082E-2</c:v>
                </c:pt>
                <c:pt idx="623">
                  <c:v>5.6539857181046177E-2</c:v>
                </c:pt>
                <c:pt idx="624">
                  <c:v>5.7290991031734809E-2</c:v>
                </c:pt>
                <c:pt idx="625">
                  <c:v>5.8051458747501131E-2</c:v>
                </c:pt>
                <c:pt idx="626">
                  <c:v>5.8821363956981745E-2</c:v>
                </c:pt>
                <c:pt idx="627">
                  <c:v>5.9600811202180755E-2</c:v>
                </c:pt>
                <c:pt idx="628">
                  <c:v>6.0389905941790056E-2</c:v>
                </c:pt>
                <c:pt idx="629">
                  <c:v>6.1188754554419529E-2</c:v>
                </c:pt>
                <c:pt idx="630">
                  <c:v>6.1997464341722285E-2</c:v>
                </c:pt>
                <c:pt idx="631">
                  <c:v>6.281614353141822E-2</c:v>
                </c:pt>
                <c:pt idx="632">
                  <c:v>6.3644901280208582E-2</c:v>
                </c:pt>
                <c:pt idx="633">
                  <c:v>6.4483847676582121E-2</c:v>
                </c:pt>
                <c:pt idx="634">
                  <c:v>6.5333093743503615E-2</c:v>
                </c:pt>
                <c:pt idx="635">
                  <c:v>6.6192751440992292E-2</c:v>
                </c:pt>
                <c:pt idx="636">
                  <c:v>6.7062933668571134E-2</c:v>
                </c:pt>
                <c:pt idx="637">
                  <c:v>6.7943754267599299E-2</c:v>
                </c:pt>
                <c:pt idx="638">
                  <c:v>6.883532802347285E-2</c:v>
                </c:pt>
                <c:pt idx="639">
                  <c:v>6.9737770667695639E-2</c:v>
                </c:pt>
                <c:pt idx="640">
                  <c:v>7.0651198879814928E-2</c:v>
                </c:pt>
                <c:pt idx="641">
                  <c:v>7.1575730289220554E-2</c:v>
                </c:pt>
                <c:pt idx="642">
                  <c:v>7.2511483476797159E-2</c:v>
                </c:pt>
                <c:pt idx="643">
                  <c:v>7.3458577976436623E-2</c:v>
                </c:pt>
                <c:pt idx="644">
                  <c:v>7.4417134276395583E-2</c:v>
                </c:pt>
                <c:pt idx="645">
                  <c:v>7.5387273820499645E-2</c:v>
                </c:pt>
                <c:pt idx="646">
                  <c:v>7.6369119009191619E-2</c:v>
                </c:pt>
                <c:pt idx="647">
                  <c:v>7.7362793200419416E-2</c:v>
                </c:pt>
                <c:pt idx="648">
                  <c:v>7.8368420710350495E-2</c:v>
                </c:pt>
                <c:pt idx="649">
                  <c:v>7.9386126813923236E-2</c:v>
                </c:pt>
                <c:pt idx="650">
                  <c:v>8.0416037745223296E-2</c:v>
                </c:pt>
                <c:pt idx="651">
                  <c:v>8.1458280697676091E-2</c:v>
                </c:pt>
                <c:pt idx="652">
                  <c:v>8.2512983824061248E-2</c:v>
                </c:pt>
                <c:pt idx="653">
                  <c:v>8.3580276236334961E-2</c:v>
                </c:pt>
                <c:pt idx="654">
                  <c:v>8.4660288005268217E-2</c:v>
                </c:pt>
                <c:pt idx="655">
                  <c:v>8.5753150159875655E-2</c:v>
                </c:pt>
                <c:pt idx="656">
                  <c:v>8.6858994686657032E-2</c:v>
                </c:pt>
                <c:pt idx="657">
                  <c:v>8.7977954528623267E-2</c:v>
                </c:pt>
                <c:pt idx="658">
                  <c:v>8.911016358411443E-2</c:v>
                </c:pt>
                <c:pt idx="659">
                  <c:v>9.0255756705403353E-2</c:v>
                </c:pt>
                <c:pt idx="660">
                  <c:v>9.1414869697080556E-2</c:v>
                </c:pt>
                <c:pt idx="661">
                  <c:v>9.2587639314207951E-2</c:v>
                </c:pt>
                <c:pt idx="662">
                  <c:v>9.3774203260248448E-2</c:v>
                </c:pt>
                <c:pt idx="663">
                  <c:v>9.4974700184757399E-2</c:v>
                </c:pt>
                <c:pt idx="664">
                  <c:v>9.6189269680835632E-2</c:v>
                </c:pt>
                <c:pt idx="665">
                  <c:v>9.741805228233448E-2</c:v>
                </c:pt>
                <c:pt idx="666">
                  <c:v>9.8661189460808513E-2</c:v>
                </c:pt>
                <c:pt idx="667">
                  <c:v>9.9918823622221209E-2</c:v>
                </c:pt>
                <c:pt idx="668">
                  <c:v>0.10119109810337812</c:v>
                </c:pt>
                <c:pt idx="669">
                  <c:v>0.10247815716809799</c:v>
                </c:pt>
                <c:pt idx="670">
                  <c:v>0.10378014600311486</c:v>
                </c:pt>
                <c:pt idx="671">
                  <c:v>0.10509721071369431</c:v>
                </c:pt>
                <c:pt idx="672">
                  <c:v>0.10642949831897527</c:v>
                </c:pt>
                <c:pt idx="673">
                  <c:v>0.10777715674701528</c:v>
                </c:pt>
                <c:pt idx="674">
                  <c:v>0.10914033482954388</c:v>
                </c:pt>
                <c:pt idx="675">
                  <c:v>0.11051918229641652</c:v>
                </c:pt>
                <c:pt idx="676">
                  <c:v>0.11191384976975875</c:v>
                </c:pt>
                <c:pt idx="677">
                  <c:v>0.11332448875780243</c:v>
                </c:pt>
                <c:pt idx="678">
                  <c:v>0.11475125164839582</c:v>
                </c:pt>
                <c:pt idx="679">
                  <c:v>0.11619429170219647</c:v>
                </c:pt>
                <c:pt idx="680">
                  <c:v>0.11765376304553239</c:v>
                </c:pt>
                <c:pt idx="681">
                  <c:v>0.11912982066292112</c:v>
                </c:pt>
                <c:pt idx="682">
                  <c:v>0.12062262038925475</c:v>
                </c:pt>
                <c:pt idx="683">
                  <c:v>0.12213231890162145</c:v>
                </c:pt>
                <c:pt idx="684">
                  <c:v>0.12365907371078973</c:v>
                </c:pt>
                <c:pt idx="685">
                  <c:v>0.1252030431523137</c:v>
                </c:pt>
                <c:pt idx="686">
                  <c:v>0.12676438637728088</c:v>
                </c:pt>
                <c:pt idx="687">
                  <c:v>0.12834326334267773</c:v>
                </c:pt>
                <c:pt idx="688">
                  <c:v>0.12993983480137986</c:v>
                </c:pt>
                <c:pt idx="689">
                  <c:v>0.1315542622917493</c:v>
                </c:pt>
                <c:pt idx="690">
                  <c:v>0.1331867081268383</c:v>
                </c:pt>
                <c:pt idx="691">
                  <c:v>0.13483733538319004</c:v>
                </c:pt>
                <c:pt idx="692">
                  <c:v>0.13650630788923385</c:v>
                </c:pt>
                <c:pt idx="693">
                  <c:v>0.13819379021326103</c:v>
                </c:pt>
                <c:pt idx="694">
                  <c:v>0.13989994765098723</c:v>
                </c:pt>
                <c:pt idx="695">
                  <c:v>0.14162494621266647</c:v>
                </c:pt>
                <c:pt idx="696">
                  <c:v>0.14336895260979496</c:v>
                </c:pt>
                <c:pt idx="697">
                  <c:v>0.14513213424135013</c:v>
                </c:pt>
                <c:pt idx="698">
                  <c:v>0.14691465917958749</c:v>
                </c:pt>
                <c:pt idx="699">
                  <c:v>0.14871669615538372</c:v>
                </c:pt>
                <c:pt idx="700">
                  <c:v>0.1505384145431104</c:v>
                </c:pt>
                <c:pt idx="701">
                  <c:v>0.15237998434503161</c:v>
                </c:pt>
                <c:pt idx="702">
                  <c:v>0.15424157617523435</c:v>
                </c:pt>
                <c:pt idx="703">
                  <c:v>0.15612336124306359</c:v>
                </c:pt>
                <c:pt idx="704">
                  <c:v>0.15802551133606199</c:v>
                </c:pt>
                <c:pt idx="705">
                  <c:v>0.15994819880241634</c:v>
                </c:pt>
                <c:pt idx="706">
                  <c:v>0.16189159653288965</c:v>
                </c:pt>
                <c:pt idx="707">
                  <c:v>0.16385587794224155</c:v>
                </c:pt>
                <c:pt idx="708">
                  <c:v>0.16584121695011339</c:v>
                </c:pt>
                <c:pt idx="709">
                  <c:v>0.16784778796140395</c:v>
                </c:pt>
                <c:pt idx="710">
                  <c:v>0.1698757658460866</c:v>
                </c:pt>
                <c:pt idx="711">
                  <c:v>0.1719253259184885</c:v>
                </c:pt>
                <c:pt idx="712">
                  <c:v>0.17399664391601444</c:v>
                </c:pt>
                <c:pt idx="713">
                  <c:v>0.17608989597731739</c:v>
                </c:pt>
                <c:pt idx="714">
                  <c:v>0.17820525861988487</c:v>
                </c:pt>
                <c:pt idx="715">
                  <c:v>0.18034290871706238</c:v>
                </c:pt>
                <c:pt idx="716">
                  <c:v>0.18250302347448524</c:v>
                </c:pt>
                <c:pt idx="717">
                  <c:v>0.18468578040592329</c:v>
                </c:pt>
                <c:pt idx="718">
                  <c:v>0.18689135730852038</c:v>
                </c:pt>
                <c:pt idx="719">
                  <c:v>0.18911993223743492</c:v>
                </c:pt>
                <c:pt idx="720">
                  <c:v>0.19137168347985636</c:v>
                </c:pt>
                <c:pt idx="721">
                  <c:v>0.19364678952840525</c:v>
                </c:pt>
                <c:pt idx="722">
                  <c:v>0.19594542905390219</c:v>
                </c:pt>
                <c:pt idx="723">
                  <c:v>0.1982677808774948</c:v>
                </c:pt>
                <c:pt idx="724">
                  <c:v>0.20061402394214861</c:v>
                </c:pt>
                <c:pt idx="725">
                  <c:v>0.2029843372834734</c:v>
                </c:pt>
                <c:pt idx="726">
                  <c:v>0.20537889999989509</c:v>
                </c:pt>
                <c:pt idx="727">
                  <c:v>0.20779789122215805</c:v>
                </c:pt>
                <c:pt idx="728">
                  <c:v>0.21024149008215243</c:v>
                </c:pt>
                <c:pt idx="729">
                  <c:v>0.21270987568105562</c:v>
                </c:pt>
                <c:pt idx="730">
                  <c:v>0.21520322705678013</c:v>
                </c:pt>
                <c:pt idx="731">
                  <c:v>0.2177217231507316</c:v>
                </c:pt>
                <c:pt idx="732">
                  <c:v>0.22026554277385635</c:v>
                </c:pt>
                <c:pt idx="733">
                  <c:v>0.2228348645719648</c:v>
                </c:pt>
                <c:pt idx="734">
                  <c:v>0.2254298669903492</c:v>
                </c:pt>
                <c:pt idx="735">
                  <c:v>0.22805072823766737</c:v>
                </c:pt>
                <c:pt idx="736">
                  <c:v>0.23069762624908788</c:v>
                </c:pt>
                <c:pt idx="737">
                  <c:v>0.23337073864869637</c:v>
                </c:pt>
                <c:pt idx="738">
                  <c:v>0.23607024271114302</c:v>
                </c:pt>
                <c:pt idx="739">
                  <c:v>0.23879631532255088</c:v>
                </c:pt>
                <c:pt idx="740">
                  <c:v>0.24154913294063735</c:v>
                </c:pt>
                <c:pt idx="741">
                  <c:v>0.24432887155407923</c:v>
                </c:pt>
                <c:pt idx="742">
                  <c:v>0.24713570664109996</c:v>
                </c:pt>
                <c:pt idx="743">
                  <c:v>0.24996981312725813</c:v>
                </c:pt>
                <c:pt idx="744">
                  <c:v>0.25283136534245831</c:v>
                </c:pt>
                <c:pt idx="745">
                  <c:v>0.25572053697716485</c:v>
                </c:pt>
                <c:pt idx="746">
                  <c:v>0.25863750103778987</c:v>
                </c:pt>
                <c:pt idx="747">
                  <c:v>0.26158242980129809</c:v>
                </c:pt>
                <c:pt idx="748">
                  <c:v>0.26455549476896889</c:v>
                </c:pt>
                <c:pt idx="749">
                  <c:v>0.26755686661935796</c:v>
                </c:pt>
                <c:pt idx="750">
                  <c:v>0.2705867151604005</c:v>
                </c:pt>
                <c:pt idx="751">
                  <c:v>0.27364520928071179</c:v>
                </c:pt>
                <c:pt idx="752">
                  <c:v>0.27673251690001377</c:v>
                </c:pt>
                <c:pt idx="753">
                  <c:v>0.27984880491874164</c:v>
                </c:pt>
                <c:pt idx="754">
                  <c:v>0.2829942391667743</c:v>
                </c:pt>
                <c:pt idx="755">
                  <c:v>0.28616898435131705</c:v>
                </c:pt>
                <c:pt idx="756">
                  <c:v>0.28937320400393446</c:v>
                </c:pt>
                <c:pt idx="757">
                  <c:v>0.292607060426679</c:v>
                </c:pt>
                <c:pt idx="758">
                  <c:v>0.29587071463738629</c:v>
                </c:pt>
                <c:pt idx="759">
                  <c:v>0.29916432631406059</c:v>
                </c:pt>
                <c:pt idx="760">
                  <c:v>0.30248805373839321</c:v>
                </c:pt>
                <c:pt idx="761">
                  <c:v>0.30584205373839457</c:v>
                </c:pt>
                <c:pt idx="762">
                  <c:v>0.30922648163012445</c:v>
                </c:pt>
                <c:pt idx="763">
                  <c:v>0.3126414911585389</c:v>
                </c:pt>
                <c:pt idx="764">
                  <c:v>0.31608723443742254</c:v>
                </c:pt>
                <c:pt idx="765">
                  <c:v>0.31956386188844527</c:v>
                </c:pt>
                <c:pt idx="766">
                  <c:v>0.32307152217927454</c:v>
                </c:pt>
                <c:pt idx="767">
                  <c:v>0.32661036216081524</c:v>
                </c:pt>
                <c:pt idx="768">
                  <c:v>0.33018052680352061</c:v>
                </c:pt>
                <c:pt idx="769">
                  <c:v>0.33378215913278747</c:v>
                </c:pt>
                <c:pt idx="770">
                  <c:v>0.33741540016343813</c:v>
                </c:pt>
                <c:pt idx="771">
                  <c:v>0.34108038883329378</c:v>
                </c:pt>
                <c:pt idx="772">
                  <c:v>0.34477726193580721</c:v>
                </c:pt>
                <c:pt idx="773">
                  <c:v>0.34850615405179047</c:v>
                </c:pt>
                <c:pt idx="774">
                  <c:v>0.35226719748021612</c:v>
                </c:pt>
                <c:pt idx="775">
                  <c:v>0.35606052216808798</c:v>
                </c:pt>
                <c:pt idx="776">
                  <c:v>0.35988625563940363</c:v>
                </c:pt>
                <c:pt idx="777">
                  <c:v>0.36374452292316578</c:v>
                </c:pt>
                <c:pt idx="778">
                  <c:v>0.36763544648050756</c:v>
                </c:pt>
                <c:pt idx="779">
                  <c:v>0.37155914613084778</c:v>
                </c:pt>
                <c:pt idx="780">
                  <c:v>0.37551573897717211</c:v>
                </c:pt>
                <c:pt idx="781">
                  <c:v>0.37950533933035024</c:v>
                </c:pt>
                <c:pt idx="782">
                  <c:v>0.38352805863256184</c:v>
                </c:pt>
                <c:pt idx="783">
                  <c:v>0.38758400537978482</c:v>
                </c:pt>
                <c:pt idx="784">
                  <c:v>0.39167328504338494</c:v>
                </c:pt>
                <c:pt idx="785">
                  <c:v>0.3957959999907828</c:v>
                </c:pt>
                <c:pt idx="786">
                  <c:v>0.39995224940520324</c:v>
                </c:pt>
                <c:pt idx="787">
                  <c:v>0.40414212920453585</c:v>
                </c:pt>
                <c:pt idx="788">
                  <c:v>0.40836573195928144</c:v>
                </c:pt>
                <c:pt idx="789">
                  <c:v>0.41262314680959944</c:v>
                </c:pt>
                <c:pt idx="790">
                  <c:v>0.41691445938146637</c:v>
                </c:pt>
                <c:pt idx="791">
                  <c:v>0.42123975170195194</c:v>
                </c:pt>
                <c:pt idx="792">
                  <c:v>0.4255991021135932</c:v>
                </c:pt>
                <c:pt idx="793">
                  <c:v>0.42999258518791583</c:v>
                </c:pt>
                <c:pt idx="794">
                  <c:v>0.43442027163807884</c:v>
                </c:pt>
                <c:pt idx="795">
                  <c:v>0.43888222823063755</c:v>
                </c:pt>
                <c:pt idx="796">
                  <c:v>0.44337851769649533</c:v>
                </c:pt>
                <c:pt idx="797">
                  <c:v>0.44790919864095685</c:v>
                </c:pt>
                <c:pt idx="798">
                  <c:v>0.45247432545299449</c:v>
                </c:pt>
                <c:pt idx="799">
                  <c:v>0.45707394821364772</c:v>
                </c:pt>
                <c:pt idx="800">
                  <c:v>0.46170811260363143</c:v>
                </c:pt>
                <c:pt idx="801">
                  <c:v>0.46637685981011962</c:v>
                </c:pt>
                <c:pt idx="802">
                  <c:v>0.47108022643274611</c:v>
                </c:pt>
                <c:pt idx="803">
                  <c:v>0.47581824438881104</c:v>
                </c:pt>
                <c:pt idx="804">
                  <c:v>0.48059094081772319</c:v>
                </c:pt>
                <c:pt idx="805">
                  <c:v>0.4853983379846753</c:v>
                </c:pt>
                <c:pt idx="806">
                  <c:v>0.49024045318357562</c:v>
                </c:pt>
                <c:pt idx="807">
                  <c:v>0.49511729863926351</c:v>
                </c:pt>
                <c:pt idx="808">
                  <c:v>0.50002888140897916</c:v>
                </c:pt>
                <c:pt idx="809">
                  <c:v>0.50497520328315137</c:v>
                </c:pt>
                <c:pt idx="810">
                  <c:v>0.50995626068551492</c:v>
                </c:pt>
                <c:pt idx="811">
                  <c:v>0.51497204457250934</c:v>
                </c:pt>
                <c:pt idx="812">
                  <c:v>0.52002254033209283</c:v>
                </c:pt>
                <c:pt idx="813">
                  <c:v>0.52510772768186831</c:v>
                </c:pt>
                <c:pt idx="814">
                  <c:v>0.53022758056662644</c:v>
                </c:pt>
                <c:pt idx="815">
                  <c:v>0.53538206705528657</c:v>
                </c:pt>
                <c:pt idx="816">
                  <c:v>0.54057114923727367</c:v>
                </c:pt>
                <c:pt idx="817">
                  <c:v>0.54579478311830865</c:v>
                </c:pt>
                <c:pt idx="818">
                  <c:v>0.5510529185157228</c:v>
                </c:pt>
                <c:pt idx="819">
                  <c:v>0.55634549895322416</c:v>
                </c:pt>
                <c:pt idx="820">
                  <c:v>0.56167246155518158</c:v>
                </c:pt>
                <c:pt idx="821">
                  <c:v>0.56703373694047532</c:v>
                </c:pt>
                <c:pt idx="822">
                  <c:v>0.57242924911589621</c:v>
                </c:pt>
                <c:pt idx="823">
                  <c:v>0.57785891536912082</c:v>
                </c:pt>
                <c:pt idx="824">
                  <c:v>0.58332264616134</c:v>
                </c:pt>
                <c:pt idx="825">
                  <c:v>0.58882034501950375</c:v>
                </c:pt>
                <c:pt idx="826">
                  <c:v>0.59435190842825514</c:v>
                </c:pt>
                <c:pt idx="827">
                  <c:v>0.5999172257215577</c:v>
                </c:pt>
                <c:pt idx="828">
                  <c:v>0.60551617897407017</c:v>
                </c:pt>
                <c:pt idx="829">
                  <c:v>0.61114864289227022</c:v>
                </c:pt>
                <c:pt idx="830">
                  <c:v>0.61681448470539224</c:v>
                </c:pt>
                <c:pt idx="831">
                  <c:v>0.62251356405617142</c:v>
                </c:pt>
                <c:pt idx="832">
                  <c:v>0.628245732891486</c:v>
                </c:pt>
                <c:pt idx="833">
                  <c:v>0.63401083535284608</c:v>
                </c:pt>
                <c:pt idx="834">
                  <c:v>0.63980870766687536</c:v>
                </c:pt>
                <c:pt idx="835">
                  <c:v>0.64563917803572646</c:v>
                </c:pt>
                <c:pt idx="836">
                  <c:v>0.65150206652749953</c:v>
                </c:pt>
                <c:pt idx="837">
                  <c:v>0.65739718496672972</c:v>
                </c:pt>
                <c:pt idx="838">
                  <c:v>0.6633243368249524</c:v>
                </c:pt>
                <c:pt idx="839">
                  <c:v>0.66928331711138611</c:v>
                </c:pt>
                <c:pt idx="840">
                  <c:v>0.67527391226378486</c:v>
                </c:pt>
                <c:pt idx="841">
                  <c:v>0.68129590003951757</c:v>
                </c:pt>
                <c:pt idx="842">
                  <c:v>0.68734904940687136</c:v>
                </c:pt>
                <c:pt idx="843">
                  <c:v>0.69343312043668182</c:v>
                </c:pt>
                <c:pt idx="844">
                  <c:v>0.69954786419427561</c:v>
                </c:pt>
                <c:pt idx="845">
                  <c:v>0.70569302263183464</c:v>
                </c:pt>
                <c:pt idx="846">
                  <c:v>0.71186832848117154</c:v>
                </c:pt>
                <c:pt idx="847">
                  <c:v>0.7180735051470053</c:v>
                </c:pt>
                <c:pt idx="848">
                  <c:v>0.72430826660075487</c:v>
                </c:pt>
                <c:pt idx="849">
                  <c:v>0.73057231727494254</c:v>
                </c:pt>
                <c:pt idx="850">
                  <c:v>0.73686535195819602</c:v>
                </c:pt>
                <c:pt idx="851">
                  <c:v>0.74318705569098997</c:v>
                </c:pt>
                <c:pt idx="852">
                  <c:v>0.74953710366208781</c:v>
                </c:pt>
                <c:pt idx="853">
                  <c:v>0.75591516110578061</c:v>
                </c:pt>
                <c:pt idx="854">
                  <c:v>0.76232088320002744</c:v>
                </c:pt>
                <c:pt idx="855">
                  <c:v>0.76875391496543199</c:v>
                </c:pt>
                <c:pt idx="856">
                  <c:v>0.77521389116524653</c:v>
                </c:pt>
                <c:pt idx="857">
                  <c:v>0.7817004362063813</c:v>
                </c:pt>
                <c:pt idx="858">
                  <c:v>0.78821316404147779</c:v>
                </c:pt>
                <c:pt idx="859">
                  <c:v>0.7947516780721694</c:v>
                </c:pt>
                <c:pt idx="860">
                  <c:v>0.80131557105351159</c:v>
                </c:pt>
                <c:pt idx="861">
                  <c:v>0.80790442499971582</c:v>
                </c:pt>
                <c:pt idx="862">
                  <c:v>0.81451781109119004</c:v>
                </c:pt>
                <c:pt idx="863">
                  <c:v>0.82115528958299988</c:v>
                </c:pt>
                <c:pt idx="864">
                  <c:v>0.82781640971478554</c:v>
                </c:pt>
                <c:pt idx="865">
                  <c:v>0.83450070962221645</c:v>
                </c:pt>
                <c:pt idx="866">
                  <c:v>0.84120771625004476</c:v>
                </c:pt>
                <c:pt idx="867">
                  <c:v>0.84793694526682595</c:v>
                </c:pt>
                <c:pt idx="868">
                  <c:v>0.85468790098138603</c:v>
                </c:pt>
                <c:pt idx="869">
                  <c:v>0.86146007626110643</c:v>
                </c:pt>
                <c:pt idx="870">
                  <c:v>0.86825295245206058</c:v>
                </c:pt>
                <c:pt idx="871">
                  <c:v>0.87506599930115014</c:v>
                </c:pt>
                <c:pt idx="872">
                  <c:v>0.88189867488024365</c:v>
                </c:pt>
                <c:pt idx="873">
                  <c:v>0.88875042551241268</c:v>
                </c:pt>
                <c:pt idx="874">
                  <c:v>0.89562068570038933</c:v>
                </c:pt>
                <c:pt idx="875">
                  <c:v>0.90250887805722513</c:v>
                </c:pt>
                <c:pt idx="876">
                  <c:v>0.90941441323932937</c:v>
                </c:pt>
                <c:pt idx="877">
                  <c:v>0.91633668988191175</c:v>
                </c:pt>
                <c:pt idx="878">
                  <c:v>0.92327509453689172</c:v>
                </c:pt>
                <c:pt idx="879">
                  <c:v>0.93022900161341293</c:v>
                </c:pt>
                <c:pt idx="880">
                  <c:v>0.93719777332099852</c:v>
                </c:pt>
                <c:pt idx="881">
                  <c:v>0.94418075961544212</c:v>
                </c:pt>
                <c:pt idx="882">
                  <c:v>0.95117729814750895</c:v>
                </c:pt>
                <c:pt idx="883">
                  <c:v>0.95818671421455048</c:v>
                </c:pt>
                <c:pt idx="884">
                  <c:v>0.96520832071512064</c:v>
                </c:pt>
                <c:pt idx="885">
                  <c:v>0.97224141810660569</c:v>
                </c:pt>
                <c:pt idx="886">
                  <c:v>0.97928529436608214</c:v>
                </c:pt>
                <c:pt idx="887">
                  <c:v>0.98633922495435877</c:v>
                </c:pt>
                <c:pt idx="888">
                  <c:v>0.99340247278339244</c:v>
                </c:pt>
                <c:pt idx="889">
                  <c:v>1.0004742881870738</c:v>
                </c:pt>
                <c:pt idx="890">
                  <c:v>1.0075539088955652</c:v>
                </c:pt>
                <c:pt idx="891">
                  <c:v>1.0146405600131922</c:v>
                </c:pt>
                <c:pt idx="892">
                  <c:v>1.0217334540000358</c:v>
                </c:pt>
                <c:pt idx="893">
                  <c:v>1.0288317906573037</c:v>
                </c:pt>
                <c:pt idx="894">
                  <c:v>1.0359347571165343</c:v>
                </c:pt>
                <c:pt idx="895">
                  <c:v>1.0430415278327738</c:v>
                </c:pt>
                <c:pt idx="896">
                  <c:v>1.050151264581809</c:v>
                </c:pt>
                <c:pt idx="897">
                  <c:v>1.0572631164614765</c:v>
                </c:pt>
                <c:pt idx="898">
                  <c:v>1.0643762198972713</c:v>
                </c:pt>
                <c:pt idx="899">
                  <c:v>1.0714896986521973</c:v>
                </c:pt>
                <c:pt idx="900">
                  <c:v>1.0786026638410888</c:v>
                </c:pt>
                <c:pt idx="901">
                  <c:v>1.0857142139493834</c:v>
                </c:pt>
                <c:pt idx="902">
                  <c:v>1.092823434856502</c:v>
                </c:pt>
                <c:pt idx="903">
                  <c:v>1.0999293998639166</c:v>
                </c:pt>
                <c:pt idx="904">
                  <c:v>1.1070311697279911</c:v>
                </c:pt>
                <c:pt idx="905">
                  <c:v>1.114127792697668</c:v>
                </c:pt>
                <c:pt idx="906">
                  <c:v>1.1212183045571367</c:v>
                </c:pt>
                <c:pt idx="907">
                  <c:v>1.1283017286735322</c:v>
                </c:pt>
                <c:pt idx="908">
                  <c:v>1.1353770760497981</c:v>
                </c:pt>
                <c:pt idx="909">
                  <c:v>1.1424433453827296</c:v>
                </c:pt>
                <c:pt idx="910">
                  <c:v>1.1494995231264131</c:v>
                </c:pt>
                <c:pt idx="911">
                  <c:v>1.156544583560992</c:v>
                </c:pt>
                <c:pt idx="912">
                  <c:v>1.1635774888670032</c:v>
                </c:pt>
                <c:pt idx="913">
                  <c:v>1.1705971892052607</c:v>
                </c:pt>
                <c:pt idx="914">
                  <c:v>1.1776026228024439</c:v>
                </c:pt>
                <c:pt idx="915">
                  <c:v>1.1845927160424068</c:v>
                </c:pt>
                <c:pt idx="916">
                  <c:v>1.1915663835634196</c:v>
                </c:pt>
                <c:pt idx="917">
                  <c:v>1.1985225283612484</c:v>
                </c:pt>
                <c:pt idx="918">
                  <c:v>1.205460041898343</c:v>
                </c:pt>
                <c:pt idx="919">
                  <c:v>1.2123778042191002</c:v>
                </c:pt>
                <c:pt idx="920">
                  <c:v>1.2192746840712863</c:v>
                </c:pt>
                <c:pt idx="921">
                  <c:v>1.2261495390338017</c:v>
                </c:pt>
                <c:pt idx="922">
                  <c:v>1.2330012156507437</c:v>
                </c:pt>
                <c:pt idx="923">
                  <c:v>1.239828549571915</c:v>
                </c:pt>
                <c:pt idx="924">
                  <c:v>1.2466303656998592</c:v>
                </c:pt>
                <c:pt idx="925">
                  <c:v>1.2534054783434734</c:v>
                </c:pt>
                <c:pt idx="926">
                  <c:v>1.260152691378281</c:v>
                </c:pt>
                <c:pt idx="927">
                  <c:v>1.2668707984134497</c:v>
                </c:pt>
                <c:pt idx="928">
                  <c:v>1.2735585829656113</c:v>
                </c:pt>
                <c:pt idx="929">
                  <c:v>1.2802148186395597</c:v>
                </c:pt>
                <c:pt idx="930">
                  <c:v>1.2868382693159119</c:v>
                </c:pt>
                <c:pt idx="931">
                  <c:v>1.2934276893457539</c:v>
                </c:pt>
                <c:pt idx="932">
                  <c:v>1.2999818237523766</c:v>
                </c:pt>
                <c:pt idx="933">
                  <c:v>1.3064994084401678</c:v>
                </c:pt>
                <c:pt idx="934">
                  <c:v>1.3129791704106613</c:v>
                </c:pt>
                <c:pt idx="935">
                  <c:v>1.3194198279858931</c:v>
                </c:pt>
                <c:pt idx="936">
                  <c:v>1.3258200910390117</c:v>
                </c:pt>
                <c:pt idx="937">
                  <c:v>1.3321786612322892</c:v>
                </c:pt>
                <c:pt idx="938">
                  <c:v>1.3384942322625406</c:v>
                </c:pt>
                <c:pt idx="939">
                  <c:v>1.3447654901139645</c:v>
                </c:pt>
                <c:pt idx="940">
                  <c:v>1.3509911133185424</c:v>
                </c:pt>
                <c:pt idx="941">
                  <c:v>1.3571697732239314</c:v>
                </c:pt>
                <c:pt idx="942">
                  <c:v>1.3633001342689519</c:v>
                </c:pt>
                <c:pt idx="943">
                  <c:v>1.3693808542666988</c:v>
                </c:pt>
                <c:pt idx="944">
                  <c:v>1.3754105846952895</c:v>
                </c:pt>
                <c:pt idx="945">
                  <c:v>1.3813879709962766</c:v>
                </c:pt>
                <c:pt idx="946">
                  <c:v>1.387311652880769</c:v>
                </c:pt>
                <c:pt idx="947">
                  <c:v>1.3931802646432681</c:v>
                </c:pt>
                <c:pt idx="948">
                  <c:v>1.3989924354832317</c:v>
                </c:pt>
                <c:pt idx="949">
                  <c:v>1.4047467898343824</c:v>
                </c:pt>
                <c:pt idx="950">
                  <c:v>1.4104419477017975</c:v>
                </c:pt>
                <c:pt idx="951">
                  <c:v>1.4160765250066962</c:v>
                </c:pt>
                <c:pt idx="952">
                  <c:v>1.4216491339390767</c:v>
                </c:pt>
                <c:pt idx="953">
                  <c:v>1.4271583833180304</c:v>
                </c:pt>
                <c:pt idx="954">
                  <c:v>1.4326028789598442</c:v>
                </c:pt>
                <c:pt idx="955">
                  <c:v>1.4379812240538374</c:v>
                </c:pt>
                <c:pt idx="956">
                  <c:v>1.443292019545896</c:v>
                </c:pt>
                <c:pt idx="957">
                  <c:v>1.4485338645297363</c:v>
                </c:pt>
                <c:pt idx="958">
                  <c:v>1.4537053566458038</c:v>
                </c:pt>
                <c:pt idx="959">
                  <c:v>1.4588050924878404</c:v>
                </c:pt>
                <c:pt idx="960">
                  <c:v>1.4638316680170154</c:v>
                </c:pt>
                <c:pt idx="961">
                  <c:v>1.4687836789836679</c:v>
                </c:pt>
                <c:pt idx="962">
                  <c:v>1.4736597213564977</c:v>
                </c:pt>
                <c:pt idx="963">
                  <c:v>1.4784583917592602</c:v>
                </c:pt>
                <c:pt idx="964">
                  <c:v>1.4831782879148487</c:v>
                </c:pt>
                <c:pt idx="965">
                  <c:v>1.4878180090966986</c:v>
                </c:pt>
                <c:pt idx="966">
                  <c:v>1.4923761565874707</c:v>
                </c:pt>
                <c:pt idx="967">
                  <c:v>1.4968513341449239</c:v>
                </c:pt>
                <c:pt idx="968">
                  <c:v>1.5012421484748897</c:v>
                </c:pt>
                <c:pt idx="969">
                  <c:v>1.505547209711275</c:v>
                </c:pt>
                <c:pt idx="970">
                  <c:v>1.5097651319029719</c:v>
                </c:pt>
                <c:pt idx="971">
                  <c:v>1.5138945335076313</c:v>
                </c:pt>
                <c:pt idx="972">
                  <c:v>1.51793403789212</c:v>
                </c:pt>
                <c:pt idx="973">
                  <c:v>1.5218822738396034</c:v>
                </c:pt>
                <c:pt idx="974">
                  <c:v>1.5257378760631173</c:v>
                </c:pt>
                <c:pt idx="975">
                  <c:v>1.5294994857254969</c:v>
                </c:pt>
                <c:pt idx="976">
                  <c:v>1.5331657509655376</c:v>
                </c:pt>
                <c:pt idx="977">
                  <c:v>1.5367353274302513</c:v>
                </c:pt>
                <c:pt idx="978">
                  <c:v>1.5402068788130572</c:v>
                </c:pt>
                <c:pt idx="979">
                  <c:v>1.5435790773977829</c:v>
                </c:pt>
                <c:pt idx="980">
                  <c:v>1.5468506046082704</c:v>
                </c:pt>
                <c:pt idx="981">
                  <c:v>1.5500201515634768</c:v>
                </c:pt>
                <c:pt idx="982">
                  <c:v>1.5530864196378396</c:v>
                </c:pt>
                <c:pt idx="983">
                  <c:v>1.5560481210267787</c:v>
                </c:pt>
                <c:pt idx="984">
                  <c:v>1.5589039793170858</c:v>
                </c:pt>
                <c:pt idx="985">
                  <c:v>1.5616527300620788</c:v>
                </c:pt>
                <c:pt idx="986">
                  <c:v>1.5642931213612352</c:v>
                </c:pt>
                <c:pt idx="987">
                  <c:v>1.5668239144441769</c:v>
                </c:pt>
                <c:pt idx="988">
                  <c:v>1.5692438842587266</c:v>
                </c:pt>
                <c:pt idx="989">
                  <c:v>1.5715518200628262</c:v>
                </c:pt>
                <c:pt idx="990">
                  <c:v>1.5737465260201216</c:v>
                </c:pt>
                <c:pt idx="991">
                  <c:v>1.5758268217988998</c:v>
                </c:pt>
                <c:pt idx="992">
                  <c:v>1.5777915431742222</c:v>
                </c:pt>
                <c:pt idx="993">
                  <c:v>1.5796395426329022</c:v>
                </c:pt>
                <c:pt idx="994">
                  <c:v>1.5813696899811482</c:v>
                </c:pt>
                <c:pt idx="995">
                  <c:v>1.5829808729545378</c:v>
                </c:pt>
                <c:pt idx="996">
                  <c:v>1.5844719978301081</c:v>
                </c:pt>
                <c:pt idx="997">
                  <c:v>1.5858419900401999</c:v>
                </c:pt>
                <c:pt idx="998">
                  <c:v>1.5870897947878322</c:v>
                </c:pt>
                <c:pt idx="999">
                  <c:v>1.5882143776632789</c:v>
                </c:pt>
                <c:pt idx="1000">
                  <c:v>1.5892147252615216</c:v>
                </c:pt>
                <c:pt idx="1001">
                  <c:v>1.5900898458003059</c:v>
                </c:pt>
                <c:pt idx="1002">
                  <c:v>1.5908387697384256</c:v>
                </c:pt>
                <c:pt idx="1003">
                  <c:v>1.5914605503939738</c:v>
                </c:pt>
                <c:pt idx="1004">
                  <c:v>1.5919542645621421</c:v>
                </c:pt>
                <c:pt idx="1005">
                  <c:v>1.5923190131322926</c:v>
                </c:pt>
                <c:pt idx="1006">
                  <c:v>1.5925539217039271</c:v>
                </c:pt>
                <c:pt idx="1007">
                  <c:v>1.5926581412011687</c:v>
                </c:pt>
                <c:pt idx="1008">
                  <c:v>1.592630848485451</c:v>
                </c:pt>
                <c:pt idx="1009">
                  <c:v>1.5924712469659736</c:v>
                </c:pt>
                <c:pt idx="1010">
                  <c:v>1.5921785672076056</c:v>
                </c:pt>
                <c:pt idx="1011">
                  <c:v>1.591752067535811</c:v>
                </c:pt>
                <c:pt idx="1012">
                  <c:v>1.5911910346382334</c:v>
                </c:pt>
                <c:pt idx="1013">
                  <c:v>1.5904947841625159</c:v>
                </c:pt>
                <c:pt idx="1014">
                  <c:v>1.5896626613099765</c:v>
                </c:pt>
                <c:pt idx="1015">
                  <c:v>1.5886940414247253</c:v>
                </c:pt>
                <c:pt idx="1016">
                  <c:v>1.5875883305777767</c:v>
                </c:pt>
                <c:pt idx="1017">
                  <c:v>1.586344966145796</c:v>
                </c:pt>
                <c:pt idx="1018">
                  <c:v>1.5849634173840075</c:v>
                </c:pt>
                <c:pt idx="1019">
                  <c:v>1.5834431859928173</c:v>
                </c:pt>
                <c:pt idx="1020">
                  <c:v>1.5817838066778016</c:v>
                </c:pt>
                <c:pt idx="1021">
                  <c:v>1.5799848477025087</c:v>
                </c:pt>
                <c:pt idx="1022">
                  <c:v>1.5780459114337102</c:v>
                </c:pt>
                <c:pt idx="1023">
                  <c:v>1.5759666348786043</c:v>
                </c:pt>
                <c:pt idx="1024">
                  <c:v>1.5737466902135668</c:v>
                </c:pt>
                <c:pt idx="1025">
                  <c:v>1.5713857853039297</c:v>
                </c:pt>
                <c:pt idx="1026">
                  <c:v>1.5688836642143797</c:v>
                </c:pt>
                <c:pt idx="1027">
                  <c:v>1.5662401077094852</c:v>
                </c:pt>
                <c:pt idx="1028">
                  <c:v>1.5634549337439023</c:v>
                </c:pt>
                <c:pt idx="1029">
                  <c:v>1.5605279979417699</c:v>
                </c:pt>
                <c:pt idx="1030">
                  <c:v>1.5574591940648286</c:v>
                </c:pt>
                <c:pt idx="1031">
                  <c:v>1.5542484544688235</c:v>
                </c:pt>
                <c:pt idx="1032">
                  <c:v>1.5508957505476573</c:v>
                </c:pt>
                <c:pt idx="1033">
                  <c:v>1.5474010931648547</c:v>
                </c:pt>
                <c:pt idx="1034">
                  <c:v>1.5437645330718834</c:v>
                </c:pt>
                <c:pt idx="1035">
                  <c:v>1.5399861613127772</c:v>
                </c:pt>
                <c:pt idx="1036">
                  <c:v>1.5360661096146688</c:v>
                </c:pt>
                <c:pt idx="1037">
                  <c:v>1.5320045507637121</c:v>
                </c:pt>
                <c:pt idx="1038">
                  <c:v>1.5278016989659193</c:v>
                </c:pt>
                <c:pt idx="1039">
                  <c:v>1.5234578101924436</c:v>
                </c:pt>
                <c:pt idx="1040">
                  <c:v>1.5189731825088335</c:v>
                </c:pt>
                <c:pt idx="1041">
                  <c:v>1.5143481563877963</c:v>
                </c:pt>
                <c:pt idx="1042">
                  <c:v>1.5095831150049794</c:v>
                </c:pt>
                <c:pt idx="1043">
                  <c:v>1.5046784845173291</c:v>
                </c:pt>
                <c:pt idx="1044">
                  <c:v>1.4996347343235508</c:v>
                </c:pt>
                <c:pt idx="1045">
                  <c:v>1.4944523773061984</c:v>
                </c:pt>
                <c:pt idx="1046">
                  <c:v>1.4891319700549794</c:v>
                </c:pt>
                <c:pt idx="1047">
                  <c:v>1.4836741130707791</c:v>
                </c:pt>
                <c:pt idx="1048">
                  <c:v>1.4780794509499868</c:v>
                </c:pt>
                <c:pt idx="1049">
                  <c:v>1.4723486725486905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08-4CEA-86FD-584A3967D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1514687"/>
        <c:axId val="1421515103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Sheet1!$T$8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Sheet1!$O$9:$O$1508</c15:sqref>
                        </c15:formulaRef>
                      </c:ext>
                    </c:extLst>
                    <c:numCache>
                      <c:formatCode>General</c:formatCode>
                      <c:ptCount val="1500"/>
                      <c:pt idx="0">
                        <c:v>1500</c:v>
                      </c:pt>
                      <c:pt idx="1">
                        <c:v>1499</c:v>
                      </c:pt>
                      <c:pt idx="2">
                        <c:v>1498</c:v>
                      </c:pt>
                      <c:pt idx="3">
                        <c:v>1497</c:v>
                      </c:pt>
                      <c:pt idx="4">
                        <c:v>1496</c:v>
                      </c:pt>
                      <c:pt idx="5">
                        <c:v>1495</c:v>
                      </c:pt>
                      <c:pt idx="6">
                        <c:v>1494</c:v>
                      </c:pt>
                      <c:pt idx="7">
                        <c:v>1493</c:v>
                      </c:pt>
                      <c:pt idx="8">
                        <c:v>1492</c:v>
                      </c:pt>
                      <c:pt idx="9">
                        <c:v>1491</c:v>
                      </c:pt>
                      <c:pt idx="10">
                        <c:v>1490</c:v>
                      </c:pt>
                      <c:pt idx="11">
                        <c:v>1489</c:v>
                      </c:pt>
                      <c:pt idx="12">
                        <c:v>1488</c:v>
                      </c:pt>
                      <c:pt idx="13">
                        <c:v>1487</c:v>
                      </c:pt>
                      <c:pt idx="14">
                        <c:v>1486</c:v>
                      </c:pt>
                      <c:pt idx="15">
                        <c:v>1485</c:v>
                      </c:pt>
                      <c:pt idx="16">
                        <c:v>1484</c:v>
                      </c:pt>
                      <c:pt idx="17">
                        <c:v>1483</c:v>
                      </c:pt>
                      <c:pt idx="18">
                        <c:v>1482</c:v>
                      </c:pt>
                      <c:pt idx="19">
                        <c:v>1481</c:v>
                      </c:pt>
                      <c:pt idx="20">
                        <c:v>1480</c:v>
                      </c:pt>
                      <c:pt idx="21">
                        <c:v>1479</c:v>
                      </c:pt>
                      <c:pt idx="22">
                        <c:v>1478</c:v>
                      </c:pt>
                      <c:pt idx="23">
                        <c:v>1477</c:v>
                      </c:pt>
                      <c:pt idx="24">
                        <c:v>1476</c:v>
                      </c:pt>
                      <c:pt idx="25">
                        <c:v>1475</c:v>
                      </c:pt>
                      <c:pt idx="26">
                        <c:v>1474</c:v>
                      </c:pt>
                      <c:pt idx="27">
                        <c:v>1473</c:v>
                      </c:pt>
                      <c:pt idx="28">
                        <c:v>1472</c:v>
                      </c:pt>
                      <c:pt idx="29">
                        <c:v>1471</c:v>
                      </c:pt>
                      <c:pt idx="30">
                        <c:v>1470</c:v>
                      </c:pt>
                      <c:pt idx="31">
                        <c:v>1469</c:v>
                      </c:pt>
                      <c:pt idx="32">
                        <c:v>1468</c:v>
                      </c:pt>
                      <c:pt idx="33">
                        <c:v>1467</c:v>
                      </c:pt>
                      <c:pt idx="34">
                        <c:v>1466</c:v>
                      </c:pt>
                      <c:pt idx="35">
                        <c:v>1465</c:v>
                      </c:pt>
                      <c:pt idx="36">
                        <c:v>1464</c:v>
                      </c:pt>
                      <c:pt idx="37">
                        <c:v>1463</c:v>
                      </c:pt>
                      <c:pt idx="38">
                        <c:v>1462</c:v>
                      </c:pt>
                      <c:pt idx="39">
                        <c:v>1461</c:v>
                      </c:pt>
                      <c:pt idx="40">
                        <c:v>1460</c:v>
                      </c:pt>
                      <c:pt idx="41">
                        <c:v>1459</c:v>
                      </c:pt>
                      <c:pt idx="42">
                        <c:v>1458</c:v>
                      </c:pt>
                      <c:pt idx="43">
                        <c:v>1457</c:v>
                      </c:pt>
                      <c:pt idx="44">
                        <c:v>1456</c:v>
                      </c:pt>
                      <c:pt idx="45">
                        <c:v>1455</c:v>
                      </c:pt>
                      <c:pt idx="46">
                        <c:v>1454</c:v>
                      </c:pt>
                      <c:pt idx="47">
                        <c:v>1453</c:v>
                      </c:pt>
                      <c:pt idx="48">
                        <c:v>1452</c:v>
                      </c:pt>
                      <c:pt idx="49">
                        <c:v>1451</c:v>
                      </c:pt>
                      <c:pt idx="50">
                        <c:v>1450</c:v>
                      </c:pt>
                      <c:pt idx="51">
                        <c:v>1449</c:v>
                      </c:pt>
                      <c:pt idx="52">
                        <c:v>1448</c:v>
                      </c:pt>
                      <c:pt idx="53">
                        <c:v>1447</c:v>
                      </c:pt>
                      <c:pt idx="54">
                        <c:v>1446</c:v>
                      </c:pt>
                      <c:pt idx="55">
                        <c:v>1445</c:v>
                      </c:pt>
                      <c:pt idx="56">
                        <c:v>1444</c:v>
                      </c:pt>
                      <c:pt idx="57">
                        <c:v>1443</c:v>
                      </c:pt>
                      <c:pt idx="58">
                        <c:v>1442</c:v>
                      </c:pt>
                      <c:pt idx="59">
                        <c:v>1441</c:v>
                      </c:pt>
                      <c:pt idx="60">
                        <c:v>1440</c:v>
                      </c:pt>
                      <c:pt idx="61">
                        <c:v>1439</c:v>
                      </c:pt>
                      <c:pt idx="62">
                        <c:v>1438</c:v>
                      </c:pt>
                      <c:pt idx="63">
                        <c:v>1437</c:v>
                      </c:pt>
                      <c:pt idx="64">
                        <c:v>1436</c:v>
                      </c:pt>
                      <c:pt idx="65">
                        <c:v>1435</c:v>
                      </c:pt>
                      <c:pt idx="66">
                        <c:v>1434</c:v>
                      </c:pt>
                      <c:pt idx="67">
                        <c:v>1433</c:v>
                      </c:pt>
                      <c:pt idx="68">
                        <c:v>1432</c:v>
                      </c:pt>
                      <c:pt idx="69">
                        <c:v>1431</c:v>
                      </c:pt>
                      <c:pt idx="70">
                        <c:v>1430</c:v>
                      </c:pt>
                      <c:pt idx="71">
                        <c:v>1429</c:v>
                      </c:pt>
                      <c:pt idx="72">
                        <c:v>1428</c:v>
                      </c:pt>
                      <c:pt idx="73">
                        <c:v>1427</c:v>
                      </c:pt>
                      <c:pt idx="74">
                        <c:v>1426</c:v>
                      </c:pt>
                      <c:pt idx="75">
                        <c:v>1425</c:v>
                      </c:pt>
                      <c:pt idx="76">
                        <c:v>1424</c:v>
                      </c:pt>
                      <c:pt idx="77">
                        <c:v>1423</c:v>
                      </c:pt>
                      <c:pt idx="78">
                        <c:v>1422</c:v>
                      </c:pt>
                      <c:pt idx="79">
                        <c:v>1421</c:v>
                      </c:pt>
                      <c:pt idx="80">
                        <c:v>1420</c:v>
                      </c:pt>
                      <c:pt idx="81">
                        <c:v>1419</c:v>
                      </c:pt>
                      <c:pt idx="82">
                        <c:v>1418</c:v>
                      </c:pt>
                      <c:pt idx="83">
                        <c:v>1417</c:v>
                      </c:pt>
                      <c:pt idx="84">
                        <c:v>1416</c:v>
                      </c:pt>
                      <c:pt idx="85">
                        <c:v>1415</c:v>
                      </c:pt>
                      <c:pt idx="86">
                        <c:v>1414</c:v>
                      </c:pt>
                      <c:pt idx="87">
                        <c:v>1413</c:v>
                      </c:pt>
                      <c:pt idx="88">
                        <c:v>1412</c:v>
                      </c:pt>
                      <c:pt idx="89">
                        <c:v>1411</c:v>
                      </c:pt>
                      <c:pt idx="90">
                        <c:v>1410</c:v>
                      </c:pt>
                      <c:pt idx="91">
                        <c:v>1409</c:v>
                      </c:pt>
                      <c:pt idx="92">
                        <c:v>1408</c:v>
                      </c:pt>
                      <c:pt idx="93">
                        <c:v>1407</c:v>
                      </c:pt>
                      <c:pt idx="94">
                        <c:v>1406</c:v>
                      </c:pt>
                      <c:pt idx="95">
                        <c:v>1405</c:v>
                      </c:pt>
                      <c:pt idx="96">
                        <c:v>1404</c:v>
                      </c:pt>
                      <c:pt idx="97">
                        <c:v>1403</c:v>
                      </c:pt>
                      <c:pt idx="98">
                        <c:v>1402</c:v>
                      </c:pt>
                      <c:pt idx="99">
                        <c:v>1401</c:v>
                      </c:pt>
                      <c:pt idx="100">
                        <c:v>1400</c:v>
                      </c:pt>
                      <c:pt idx="101">
                        <c:v>1399</c:v>
                      </c:pt>
                      <c:pt idx="102">
                        <c:v>1398</c:v>
                      </c:pt>
                      <c:pt idx="103">
                        <c:v>1397</c:v>
                      </c:pt>
                      <c:pt idx="104">
                        <c:v>1396</c:v>
                      </c:pt>
                      <c:pt idx="105">
                        <c:v>1395</c:v>
                      </c:pt>
                      <c:pt idx="106">
                        <c:v>1394</c:v>
                      </c:pt>
                      <c:pt idx="107">
                        <c:v>1393</c:v>
                      </c:pt>
                      <c:pt idx="108">
                        <c:v>1392</c:v>
                      </c:pt>
                      <c:pt idx="109">
                        <c:v>1391</c:v>
                      </c:pt>
                      <c:pt idx="110">
                        <c:v>1390</c:v>
                      </c:pt>
                      <c:pt idx="111">
                        <c:v>1389</c:v>
                      </c:pt>
                      <c:pt idx="112">
                        <c:v>1388</c:v>
                      </c:pt>
                      <c:pt idx="113">
                        <c:v>1387</c:v>
                      </c:pt>
                      <c:pt idx="114">
                        <c:v>1386</c:v>
                      </c:pt>
                      <c:pt idx="115">
                        <c:v>1385</c:v>
                      </c:pt>
                      <c:pt idx="116">
                        <c:v>1384</c:v>
                      </c:pt>
                      <c:pt idx="117">
                        <c:v>1383</c:v>
                      </c:pt>
                      <c:pt idx="118">
                        <c:v>1382</c:v>
                      </c:pt>
                      <c:pt idx="119">
                        <c:v>1381</c:v>
                      </c:pt>
                      <c:pt idx="120">
                        <c:v>1380</c:v>
                      </c:pt>
                      <c:pt idx="121">
                        <c:v>1379</c:v>
                      </c:pt>
                      <c:pt idx="122">
                        <c:v>1378</c:v>
                      </c:pt>
                      <c:pt idx="123">
                        <c:v>1377</c:v>
                      </c:pt>
                      <c:pt idx="124">
                        <c:v>1376</c:v>
                      </c:pt>
                      <c:pt idx="125">
                        <c:v>1375</c:v>
                      </c:pt>
                      <c:pt idx="126">
                        <c:v>1374</c:v>
                      </c:pt>
                      <c:pt idx="127">
                        <c:v>1373</c:v>
                      </c:pt>
                      <c:pt idx="128">
                        <c:v>1372</c:v>
                      </c:pt>
                      <c:pt idx="129">
                        <c:v>1371</c:v>
                      </c:pt>
                      <c:pt idx="130">
                        <c:v>1370</c:v>
                      </c:pt>
                      <c:pt idx="131">
                        <c:v>1369</c:v>
                      </c:pt>
                      <c:pt idx="132">
                        <c:v>1368</c:v>
                      </c:pt>
                      <c:pt idx="133">
                        <c:v>1367</c:v>
                      </c:pt>
                      <c:pt idx="134">
                        <c:v>1366</c:v>
                      </c:pt>
                      <c:pt idx="135">
                        <c:v>1365</c:v>
                      </c:pt>
                      <c:pt idx="136">
                        <c:v>1364</c:v>
                      </c:pt>
                      <c:pt idx="137">
                        <c:v>1363</c:v>
                      </c:pt>
                      <c:pt idx="138">
                        <c:v>1362</c:v>
                      </c:pt>
                      <c:pt idx="139">
                        <c:v>1361</c:v>
                      </c:pt>
                      <c:pt idx="140">
                        <c:v>1360</c:v>
                      </c:pt>
                      <c:pt idx="141">
                        <c:v>1359</c:v>
                      </c:pt>
                      <c:pt idx="142">
                        <c:v>1358</c:v>
                      </c:pt>
                      <c:pt idx="143">
                        <c:v>1357</c:v>
                      </c:pt>
                      <c:pt idx="144">
                        <c:v>1356</c:v>
                      </c:pt>
                      <c:pt idx="145">
                        <c:v>1355</c:v>
                      </c:pt>
                      <c:pt idx="146">
                        <c:v>1354</c:v>
                      </c:pt>
                      <c:pt idx="147">
                        <c:v>1353</c:v>
                      </c:pt>
                      <c:pt idx="148">
                        <c:v>1352</c:v>
                      </c:pt>
                      <c:pt idx="149">
                        <c:v>1351</c:v>
                      </c:pt>
                      <c:pt idx="150">
                        <c:v>1350</c:v>
                      </c:pt>
                      <c:pt idx="151">
                        <c:v>1349</c:v>
                      </c:pt>
                      <c:pt idx="152">
                        <c:v>1348</c:v>
                      </c:pt>
                      <c:pt idx="153">
                        <c:v>1347</c:v>
                      </c:pt>
                      <c:pt idx="154">
                        <c:v>1346</c:v>
                      </c:pt>
                      <c:pt idx="155">
                        <c:v>1345</c:v>
                      </c:pt>
                      <c:pt idx="156">
                        <c:v>1344</c:v>
                      </c:pt>
                      <c:pt idx="157">
                        <c:v>1343</c:v>
                      </c:pt>
                      <c:pt idx="158">
                        <c:v>1342</c:v>
                      </c:pt>
                      <c:pt idx="159">
                        <c:v>1341</c:v>
                      </c:pt>
                      <c:pt idx="160">
                        <c:v>1340</c:v>
                      </c:pt>
                      <c:pt idx="161">
                        <c:v>1339</c:v>
                      </c:pt>
                      <c:pt idx="162">
                        <c:v>1338</c:v>
                      </c:pt>
                      <c:pt idx="163">
                        <c:v>1337</c:v>
                      </c:pt>
                      <c:pt idx="164">
                        <c:v>1336</c:v>
                      </c:pt>
                      <c:pt idx="165">
                        <c:v>1335</c:v>
                      </c:pt>
                      <c:pt idx="166">
                        <c:v>1334</c:v>
                      </c:pt>
                      <c:pt idx="167">
                        <c:v>1333</c:v>
                      </c:pt>
                      <c:pt idx="168">
                        <c:v>1332</c:v>
                      </c:pt>
                      <c:pt idx="169">
                        <c:v>1331</c:v>
                      </c:pt>
                      <c:pt idx="170">
                        <c:v>1330</c:v>
                      </c:pt>
                      <c:pt idx="171">
                        <c:v>1329</c:v>
                      </c:pt>
                      <c:pt idx="172">
                        <c:v>1328</c:v>
                      </c:pt>
                      <c:pt idx="173">
                        <c:v>1327</c:v>
                      </c:pt>
                      <c:pt idx="174">
                        <c:v>1326</c:v>
                      </c:pt>
                      <c:pt idx="175">
                        <c:v>1325</c:v>
                      </c:pt>
                      <c:pt idx="176">
                        <c:v>1324</c:v>
                      </c:pt>
                      <c:pt idx="177">
                        <c:v>1323</c:v>
                      </c:pt>
                      <c:pt idx="178">
                        <c:v>1322</c:v>
                      </c:pt>
                      <c:pt idx="179">
                        <c:v>1321</c:v>
                      </c:pt>
                      <c:pt idx="180">
                        <c:v>1320</c:v>
                      </c:pt>
                      <c:pt idx="181">
                        <c:v>1319</c:v>
                      </c:pt>
                      <c:pt idx="182">
                        <c:v>1318</c:v>
                      </c:pt>
                      <c:pt idx="183">
                        <c:v>1317</c:v>
                      </c:pt>
                      <c:pt idx="184">
                        <c:v>1316</c:v>
                      </c:pt>
                      <c:pt idx="185">
                        <c:v>1315</c:v>
                      </c:pt>
                      <c:pt idx="186">
                        <c:v>1314</c:v>
                      </c:pt>
                      <c:pt idx="187">
                        <c:v>1313</c:v>
                      </c:pt>
                      <c:pt idx="188">
                        <c:v>1312</c:v>
                      </c:pt>
                      <c:pt idx="189">
                        <c:v>1311</c:v>
                      </c:pt>
                      <c:pt idx="190">
                        <c:v>1310</c:v>
                      </c:pt>
                      <c:pt idx="191">
                        <c:v>1309</c:v>
                      </c:pt>
                      <c:pt idx="192">
                        <c:v>1308</c:v>
                      </c:pt>
                      <c:pt idx="193">
                        <c:v>1307</c:v>
                      </c:pt>
                      <c:pt idx="194">
                        <c:v>1306</c:v>
                      </c:pt>
                      <c:pt idx="195">
                        <c:v>1305</c:v>
                      </c:pt>
                      <c:pt idx="196">
                        <c:v>1304</c:v>
                      </c:pt>
                      <c:pt idx="197">
                        <c:v>1303</c:v>
                      </c:pt>
                      <c:pt idx="198">
                        <c:v>1302</c:v>
                      </c:pt>
                      <c:pt idx="199">
                        <c:v>1301</c:v>
                      </c:pt>
                      <c:pt idx="200">
                        <c:v>1300</c:v>
                      </c:pt>
                      <c:pt idx="201">
                        <c:v>1299</c:v>
                      </c:pt>
                      <c:pt idx="202">
                        <c:v>1298</c:v>
                      </c:pt>
                      <c:pt idx="203">
                        <c:v>1297</c:v>
                      </c:pt>
                      <c:pt idx="204">
                        <c:v>1296</c:v>
                      </c:pt>
                      <c:pt idx="205">
                        <c:v>1295</c:v>
                      </c:pt>
                      <c:pt idx="206">
                        <c:v>1294</c:v>
                      </c:pt>
                      <c:pt idx="207">
                        <c:v>1293</c:v>
                      </c:pt>
                      <c:pt idx="208">
                        <c:v>1292</c:v>
                      </c:pt>
                      <c:pt idx="209">
                        <c:v>1291</c:v>
                      </c:pt>
                      <c:pt idx="210">
                        <c:v>1290</c:v>
                      </c:pt>
                      <c:pt idx="211">
                        <c:v>1289</c:v>
                      </c:pt>
                      <c:pt idx="212">
                        <c:v>1288</c:v>
                      </c:pt>
                      <c:pt idx="213">
                        <c:v>1287</c:v>
                      </c:pt>
                      <c:pt idx="214">
                        <c:v>1286</c:v>
                      </c:pt>
                      <c:pt idx="215">
                        <c:v>1285</c:v>
                      </c:pt>
                      <c:pt idx="216">
                        <c:v>1284</c:v>
                      </c:pt>
                      <c:pt idx="217">
                        <c:v>1283</c:v>
                      </c:pt>
                      <c:pt idx="218">
                        <c:v>1282</c:v>
                      </c:pt>
                      <c:pt idx="219">
                        <c:v>1281</c:v>
                      </c:pt>
                      <c:pt idx="220">
                        <c:v>1280</c:v>
                      </c:pt>
                      <c:pt idx="221">
                        <c:v>1279</c:v>
                      </c:pt>
                      <c:pt idx="222">
                        <c:v>1278</c:v>
                      </c:pt>
                      <c:pt idx="223">
                        <c:v>1277</c:v>
                      </c:pt>
                      <c:pt idx="224">
                        <c:v>1276</c:v>
                      </c:pt>
                      <c:pt idx="225">
                        <c:v>1275</c:v>
                      </c:pt>
                      <c:pt idx="226">
                        <c:v>1274</c:v>
                      </c:pt>
                      <c:pt idx="227">
                        <c:v>1273</c:v>
                      </c:pt>
                      <c:pt idx="228">
                        <c:v>1272</c:v>
                      </c:pt>
                      <c:pt idx="229">
                        <c:v>1271</c:v>
                      </c:pt>
                      <c:pt idx="230">
                        <c:v>1270</c:v>
                      </c:pt>
                      <c:pt idx="231">
                        <c:v>1269</c:v>
                      </c:pt>
                      <c:pt idx="232">
                        <c:v>1268</c:v>
                      </c:pt>
                      <c:pt idx="233">
                        <c:v>1267</c:v>
                      </c:pt>
                      <c:pt idx="234">
                        <c:v>1266</c:v>
                      </c:pt>
                      <c:pt idx="235">
                        <c:v>1265</c:v>
                      </c:pt>
                      <c:pt idx="236">
                        <c:v>1264</c:v>
                      </c:pt>
                      <c:pt idx="237">
                        <c:v>1263</c:v>
                      </c:pt>
                      <c:pt idx="238">
                        <c:v>1262</c:v>
                      </c:pt>
                      <c:pt idx="239">
                        <c:v>1261</c:v>
                      </c:pt>
                      <c:pt idx="240">
                        <c:v>1260</c:v>
                      </c:pt>
                      <c:pt idx="241">
                        <c:v>1259</c:v>
                      </c:pt>
                      <c:pt idx="242">
                        <c:v>1258</c:v>
                      </c:pt>
                      <c:pt idx="243">
                        <c:v>1257</c:v>
                      </c:pt>
                      <c:pt idx="244">
                        <c:v>1256</c:v>
                      </c:pt>
                      <c:pt idx="245">
                        <c:v>1255</c:v>
                      </c:pt>
                      <c:pt idx="246">
                        <c:v>1254</c:v>
                      </c:pt>
                      <c:pt idx="247">
                        <c:v>1253</c:v>
                      </c:pt>
                      <c:pt idx="248">
                        <c:v>1252</c:v>
                      </c:pt>
                      <c:pt idx="249">
                        <c:v>1251</c:v>
                      </c:pt>
                      <c:pt idx="250">
                        <c:v>1250</c:v>
                      </c:pt>
                      <c:pt idx="251">
                        <c:v>1249</c:v>
                      </c:pt>
                      <c:pt idx="252">
                        <c:v>1248</c:v>
                      </c:pt>
                      <c:pt idx="253">
                        <c:v>1247</c:v>
                      </c:pt>
                      <c:pt idx="254">
                        <c:v>1246</c:v>
                      </c:pt>
                      <c:pt idx="255">
                        <c:v>1245</c:v>
                      </c:pt>
                      <c:pt idx="256">
                        <c:v>1244</c:v>
                      </c:pt>
                      <c:pt idx="257">
                        <c:v>1243</c:v>
                      </c:pt>
                      <c:pt idx="258">
                        <c:v>1242</c:v>
                      </c:pt>
                      <c:pt idx="259">
                        <c:v>1241</c:v>
                      </c:pt>
                      <c:pt idx="260">
                        <c:v>1240</c:v>
                      </c:pt>
                      <c:pt idx="261">
                        <c:v>1239</c:v>
                      </c:pt>
                      <c:pt idx="262">
                        <c:v>1238</c:v>
                      </c:pt>
                      <c:pt idx="263">
                        <c:v>1237</c:v>
                      </c:pt>
                      <c:pt idx="264">
                        <c:v>1236</c:v>
                      </c:pt>
                      <c:pt idx="265">
                        <c:v>1235</c:v>
                      </c:pt>
                      <c:pt idx="266">
                        <c:v>1234</c:v>
                      </c:pt>
                      <c:pt idx="267">
                        <c:v>1233</c:v>
                      </c:pt>
                      <c:pt idx="268">
                        <c:v>1232</c:v>
                      </c:pt>
                      <c:pt idx="269">
                        <c:v>1231</c:v>
                      </c:pt>
                      <c:pt idx="270">
                        <c:v>1230</c:v>
                      </c:pt>
                      <c:pt idx="271">
                        <c:v>1229</c:v>
                      </c:pt>
                      <c:pt idx="272">
                        <c:v>1228</c:v>
                      </c:pt>
                      <c:pt idx="273">
                        <c:v>1227</c:v>
                      </c:pt>
                      <c:pt idx="274">
                        <c:v>1226</c:v>
                      </c:pt>
                      <c:pt idx="275">
                        <c:v>1225</c:v>
                      </c:pt>
                      <c:pt idx="276">
                        <c:v>1224</c:v>
                      </c:pt>
                      <c:pt idx="277">
                        <c:v>1223</c:v>
                      </c:pt>
                      <c:pt idx="278">
                        <c:v>1222</c:v>
                      </c:pt>
                      <c:pt idx="279">
                        <c:v>1221</c:v>
                      </c:pt>
                      <c:pt idx="280">
                        <c:v>1220</c:v>
                      </c:pt>
                      <c:pt idx="281">
                        <c:v>1219</c:v>
                      </c:pt>
                      <c:pt idx="282">
                        <c:v>1218</c:v>
                      </c:pt>
                      <c:pt idx="283">
                        <c:v>1217</c:v>
                      </c:pt>
                      <c:pt idx="284">
                        <c:v>1216</c:v>
                      </c:pt>
                      <c:pt idx="285">
                        <c:v>1215</c:v>
                      </c:pt>
                      <c:pt idx="286">
                        <c:v>1214</c:v>
                      </c:pt>
                      <c:pt idx="287">
                        <c:v>1213</c:v>
                      </c:pt>
                      <c:pt idx="288">
                        <c:v>1212</c:v>
                      </c:pt>
                      <c:pt idx="289">
                        <c:v>1211</c:v>
                      </c:pt>
                      <c:pt idx="290">
                        <c:v>1210</c:v>
                      </c:pt>
                      <c:pt idx="291">
                        <c:v>1209</c:v>
                      </c:pt>
                      <c:pt idx="292">
                        <c:v>1208</c:v>
                      </c:pt>
                      <c:pt idx="293">
                        <c:v>1207</c:v>
                      </c:pt>
                      <c:pt idx="294">
                        <c:v>1206</c:v>
                      </c:pt>
                      <c:pt idx="295">
                        <c:v>1205</c:v>
                      </c:pt>
                      <c:pt idx="296">
                        <c:v>1204</c:v>
                      </c:pt>
                      <c:pt idx="297">
                        <c:v>1203</c:v>
                      </c:pt>
                      <c:pt idx="298">
                        <c:v>1202</c:v>
                      </c:pt>
                      <c:pt idx="299">
                        <c:v>1201</c:v>
                      </c:pt>
                      <c:pt idx="300">
                        <c:v>1200</c:v>
                      </c:pt>
                      <c:pt idx="301">
                        <c:v>1199</c:v>
                      </c:pt>
                      <c:pt idx="302">
                        <c:v>1198</c:v>
                      </c:pt>
                      <c:pt idx="303">
                        <c:v>1197</c:v>
                      </c:pt>
                      <c:pt idx="304">
                        <c:v>1196</c:v>
                      </c:pt>
                      <c:pt idx="305">
                        <c:v>1195</c:v>
                      </c:pt>
                      <c:pt idx="306">
                        <c:v>1194</c:v>
                      </c:pt>
                      <c:pt idx="307">
                        <c:v>1193</c:v>
                      </c:pt>
                      <c:pt idx="308">
                        <c:v>1192</c:v>
                      </c:pt>
                      <c:pt idx="309">
                        <c:v>1191</c:v>
                      </c:pt>
                      <c:pt idx="310">
                        <c:v>1190</c:v>
                      </c:pt>
                      <c:pt idx="311">
                        <c:v>1189</c:v>
                      </c:pt>
                      <c:pt idx="312">
                        <c:v>1188</c:v>
                      </c:pt>
                      <c:pt idx="313">
                        <c:v>1187</c:v>
                      </c:pt>
                      <c:pt idx="314">
                        <c:v>1186</c:v>
                      </c:pt>
                      <c:pt idx="315">
                        <c:v>1185</c:v>
                      </c:pt>
                      <c:pt idx="316">
                        <c:v>1184</c:v>
                      </c:pt>
                      <c:pt idx="317">
                        <c:v>1183</c:v>
                      </c:pt>
                      <c:pt idx="318">
                        <c:v>1182</c:v>
                      </c:pt>
                      <c:pt idx="319">
                        <c:v>1181</c:v>
                      </c:pt>
                      <c:pt idx="320">
                        <c:v>1180</c:v>
                      </c:pt>
                      <c:pt idx="321">
                        <c:v>1179</c:v>
                      </c:pt>
                      <c:pt idx="322">
                        <c:v>1178</c:v>
                      </c:pt>
                      <c:pt idx="323">
                        <c:v>1177</c:v>
                      </c:pt>
                      <c:pt idx="324">
                        <c:v>1176</c:v>
                      </c:pt>
                      <c:pt idx="325">
                        <c:v>1175</c:v>
                      </c:pt>
                      <c:pt idx="326">
                        <c:v>1174</c:v>
                      </c:pt>
                      <c:pt idx="327">
                        <c:v>1173</c:v>
                      </c:pt>
                      <c:pt idx="328">
                        <c:v>1172</c:v>
                      </c:pt>
                      <c:pt idx="329">
                        <c:v>1171</c:v>
                      </c:pt>
                      <c:pt idx="330">
                        <c:v>1170</c:v>
                      </c:pt>
                      <c:pt idx="331">
                        <c:v>1169</c:v>
                      </c:pt>
                      <c:pt idx="332">
                        <c:v>1168</c:v>
                      </c:pt>
                      <c:pt idx="333">
                        <c:v>1167</c:v>
                      </c:pt>
                      <c:pt idx="334">
                        <c:v>1166</c:v>
                      </c:pt>
                      <c:pt idx="335">
                        <c:v>1165</c:v>
                      </c:pt>
                      <c:pt idx="336">
                        <c:v>1164</c:v>
                      </c:pt>
                      <c:pt idx="337">
                        <c:v>1163</c:v>
                      </c:pt>
                      <c:pt idx="338">
                        <c:v>1162</c:v>
                      </c:pt>
                      <c:pt idx="339">
                        <c:v>1161</c:v>
                      </c:pt>
                      <c:pt idx="340">
                        <c:v>1160</c:v>
                      </c:pt>
                      <c:pt idx="341">
                        <c:v>1159</c:v>
                      </c:pt>
                      <c:pt idx="342">
                        <c:v>1158</c:v>
                      </c:pt>
                      <c:pt idx="343">
                        <c:v>1157</c:v>
                      </c:pt>
                      <c:pt idx="344">
                        <c:v>1156</c:v>
                      </c:pt>
                      <c:pt idx="345">
                        <c:v>1155</c:v>
                      </c:pt>
                      <c:pt idx="346">
                        <c:v>1154</c:v>
                      </c:pt>
                      <c:pt idx="347">
                        <c:v>1153</c:v>
                      </c:pt>
                      <c:pt idx="348">
                        <c:v>1152</c:v>
                      </c:pt>
                      <c:pt idx="349">
                        <c:v>1151</c:v>
                      </c:pt>
                      <c:pt idx="350">
                        <c:v>1150</c:v>
                      </c:pt>
                      <c:pt idx="351">
                        <c:v>1149</c:v>
                      </c:pt>
                      <c:pt idx="352">
                        <c:v>1148</c:v>
                      </c:pt>
                      <c:pt idx="353">
                        <c:v>1147</c:v>
                      </c:pt>
                      <c:pt idx="354">
                        <c:v>1146</c:v>
                      </c:pt>
                      <c:pt idx="355">
                        <c:v>1145</c:v>
                      </c:pt>
                      <c:pt idx="356">
                        <c:v>1144</c:v>
                      </c:pt>
                      <c:pt idx="357">
                        <c:v>1143</c:v>
                      </c:pt>
                      <c:pt idx="358">
                        <c:v>1142</c:v>
                      </c:pt>
                      <c:pt idx="359">
                        <c:v>1141</c:v>
                      </c:pt>
                      <c:pt idx="360">
                        <c:v>1140</c:v>
                      </c:pt>
                      <c:pt idx="361">
                        <c:v>1139</c:v>
                      </c:pt>
                      <c:pt idx="362">
                        <c:v>1138</c:v>
                      </c:pt>
                      <c:pt idx="363">
                        <c:v>1137</c:v>
                      </c:pt>
                      <c:pt idx="364">
                        <c:v>1136</c:v>
                      </c:pt>
                      <c:pt idx="365">
                        <c:v>1135</c:v>
                      </c:pt>
                      <c:pt idx="366">
                        <c:v>1134</c:v>
                      </c:pt>
                      <c:pt idx="367">
                        <c:v>1133</c:v>
                      </c:pt>
                      <c:pt idx="368">
                        <c:v>1132</c:v>
                      </c:pt>
                      <c:pt idx="369">
                        <c:v>1131</c:v>
                      </c:pt>
                      <c:pt idx="370">
                        <c:v>1130</c:v>
                      </c:pt>
                      <c:pt idx="371">
                        <c:v>1129</c:v>
                      </c:pt>
                      <c:pt idx="372">
                        <c:v>1128</c:v>
                      </c:pt>
                      <c:pt idx="373">
                        <c:v>1127</c:v>
                      </c:pt>
                      <c:pt idx="374">
                        <c:v>1126</c:v>
                      </c:pt>
                      <c:pt idx="375">
                        <c:v>1125</c:v>
                      </c:pt>
                      <c:pt idx="376">
                        <c:v>1124</c:v>
                      </c:pt>
                      <c:pt idx="377">
                        <c:v>1123</c:v>
                      </c:pt>
                      <c:pt idx="378">
                        <c:v>1122</c:v>
                      </c:pt>
                      <c:pt idx="379">
                        <c:v>1121</c:v>
                      </c:pt>
                      <c:pt idx="380">
                        <c:v>1120</c:v>
                      </c:pt>
                      <c:pt idx="381">
                        <c:v>1119</c:v>
                      </c:pt>
                      <c:pt idx="382">
                        <c:v>1118</c:v>
                      </c:pt>
                      <c:pt idx="383">
                        <c:v>1117</c:v>
                      </c:pt>
                      <c:pt idx="384">
                        <c:v>1116</c:v>
                      </c:pt>
                      <c:pt idx="385">
                        <c:v>1115</c:v>
                      </c:pt>
                      <c:pt idx="386">
                        <c:v>1114</c:v>
                      </c:pt>
                      <c:pt idx="387">
                        <c:v>1113</c:v>
                      </c:pt>
                      <c:pt idx="388">
                        <c:v>1112</c:v>
                      </c:pt>
                      <c:pt idx="389">
                        <c:v>1111</c:v>
                      </c:pt>
                      <c:pt idx="390">
                        <c:v>1110</c:v>
                      </c:pt>
                      <c:pt idx="391">
                        <c:v>1109</c:v>
                      </c:pt>
                      <c:pt idx="392">
                        <c:v>1108</c:v>
                      </c:pt>
                      <c:pt idx="393">
                        <c:v>1107</c:v>
                      </c:pt>
                      <c:pt idx="394">
                        <c:v>1106</c:v>
                      </c:pt>
                      <c:pt idx="395">
                        <c:v>1105</c:v>
                      </c:pt>
                      <c:pt idx="396">
                        <c:v>1104</c:v>
                      </c:pt>
                      <c:pt idx="397">
                        <c:v>1103</c:v>
                      </c:pt>
                      <c:pt idx="398">
                        <c:v>1102</c:v>
                      </c:pt>
                      <c:pt idx="399">
                        <c:v>1101</c:v>
                      </c:pt>
                      <c:pt idx="400">
                        <c:v>1100</c:v>
                      </c:pt>
                      <c:pt idx="401">
                        <c:v>1099</c:v>
                      </c:pt>
                      <c:pt idx="402">
                        <c:v>1098</c:v>
                      </c:pt>
                      <c:pt idx="403">
                        <c:v>1097</c:v>
                      </c:pt>
                      <c:pt idx="404">
                        <c:v>1096</c:v>
                      </c:pt>
                      <c:pt idx="405">
                        <c:v>1095</c:v>
                      </c:pt>
                      <c:pt idx="406">
                        <c:v>1094</c:v>
                      </c:pt>
                      <c:pt idx="407">
                        <c:v>1093</c:v>
                      </c:pt>
                      <c:pt idx="408">
                        <c:v>1092</c:v>
                      </c:pt>
                      <c:pt idx="409">
                        <c:v>1091</c:v>
                      </c:pt>
                      <c:pt idx="410">
                        <c:v>1090</c:v>
                      </c:pt>
                      <c:pt idx="411">
                        <c:v>1089</c:v>
                      </c:pt>
                      <c:pt idx="412">
                        <c:v>1088</c:v>
                      </c:pt>
                      <c:pt idx="413">
                        <c:v>1087</c:v>
                      </c:pt>
                      <c:pt idx="414">
                        <c:v>1086</c:v>
                      </c:pt>
                      <c:pt idx="415">
                        <c:v>1085</c:v>
                      </c:pt>
                      <c:pt idx="416">
                        <c:v>1084</c:v>
                      </c:pt>
                      <c:pt idx="417">
                        <c:v>1083</c:v>
                      </c:pt>
                      <c:pt idx="418">
                        <c:v>1082</c:v>
                      </c:pt>
                      <c:pt idx="419">
                        <c:v>1081</c:v>
                      </c:pt>
                      <c:pt idx="420">
                        <c:v>1080</c:v>
                      </c:pt>
                      <c:pt idx="421">
                        <c:v>1079</c:v>
                      </c:pt>
                      <c:pt idx="422">
                        <c:v>1078</c:v>
                      </c:pt>
                      <c:pt idx="423">
                        <c:v>1077</c:v>
                      </c:pt>
                      <c:pt idx="424">
                        <c:v>1076</c:v>
                      </c:pt>
                      <c:pt idx="425">
                        <c:v>1075</c:v>
                      </c:pt>
                      <c:pt idx="426">
                        <c:v>1074</c:v>
                      </c:pt>
                      <c:pt idx="427">
                        <c:v>1073</c:v>
                      </c:pt>
                      <c:pt idx="428">
                        <c:v>1072</c:v>
                      </c:pt>
                      <c:pt idx="429">
                        <c:v>1071</c:v>
                      </c:pt>
                      <c:pt idx="430">
                        <c:v>1070</c:v>
                      </c:pt>
                      <c:pt idx="431">
                        <c:v>1069</c:v>
                      </c:pt>
                      <c:pt idx="432">
                        <c:v>1068</c:v>
                      </c:pt>
                      <c:pt idx="433">
                        <c:v>1067</c:v>
                      </c:pt>
                      <c:pt idx="434">
                        <c:v>1066</c:v>
                      </c:pt>
                      <c:pt idx="435">
                        <c:v>1065</c:v>
                      </c:pt>
                      <c:pt idx="436">
                        <c:v>1064</c:v>
                      </c:pt>
                      <c:pt idx="437">
                        <c:v>1063</c:v>
                      </c:pt>
                      <c:pt idx="438">
                        <c:v>1062</c:v>
                      </c:pt>
                      <c:pt idx="439">
                        <c:v>1061</c:v>
                      </c:pt>
                      <c:pt idx="440">
                        <c:v>1060</c:v>
                      </c:pt>
                      <c:pt idx="441">
                        <c:v>1059</c:v>
                      </c:pt>
                      <c:pt idx="442">
                        <c:v>1058</c:v>
                      </c:pt>
                      <c:pt idx="443">
                        <c:v>1057</c:v>
                      </c:pt>
                      <c:pt idx="444">
                        <c:v>1056</c:v>
                      </c:pt>
                      <c:pt idx="445">
                        <c:v>1055</c:v>
                      </c:pt>
                      <c:pt idx="446">
                        <c:v>1054</c:v>
                      </c:pt>
                      <c:pt idx="447">
                        <c:v>1053</c:v>
                      </c:pt>
                      <c:pt idx="448">
                        <c:v>1052</c:v>
                      </c:pt>
                      <c:pt idx="449">
                        <c:v>1051</c:v>
                      </c:pt>
                      <c:pt idx="450">
                        <c:v>1050</c:v>
                      </c:pt>
                      <c:pt idx="451">
                        <c:v>1049</c:v>
                      </c:pt>
                      <c:pt idx="452">
                        <c:v>1048</c:v>
                      </c:pt>
                      <c:pt idx="453">
                        <c:v>1047</c:v>
                      </c:pt>
                      <c:pt idx="454">
                        <c:v>1046</c:v>
                      </c:pt>
                      <c:pt idx="455">
                        <c:v>1045</c:v>
                      </c:pt>
                      <c:pt idx="456">
                        <c:v>1044</c:v>
                      </c:pt>
                      <c:pt idx="457">
                        <c:v>1043</c:v>
                      </c:pt>
                      <c:pt idx="458">
                        <c:v>1042</c:v>
                      </c:pt>
                      <c:pt idx="459">
                        <c:v>1041</c:v>
                      </c:pt>
                      <c:pt idx="460">
                        <c:v>1040</c:v>
                      </c:pt>
                      <c:pt idx="461">
                        <c:v>1039</c:v>
                      </c:pt>
                      <c:pt idx="462">
                        <c:v>1038</c:v>
                      </c:pt>
                      <c:pt idx="463">
                        <c:v>1037</c:v>
                      </c:pt>
                      <c:pt idx="464">
                        <c:v>1036</c:v>
                      </c:pt>
                      <c:pt idx="465">
                        <c:v>1035</c:v>
                      </c:pt>
                      <c:pt idx="466">
                        <c:v>1034</c:v>
                      </c:pt>
                      <c:pt idx="467">
                        <c:v>1033</c:v>
                      </c:pt>
                      <c:pt idx="468">
                        <c:v>1032</c:v>
                      </c:pt>
                      <c:pt idx="469">
                        <c:v>1031</c:v>
                      </c:pt>
                      <c:pt idx="470">
                        <c:v>1030</c:v>
                      </c:pt>
                      <c:pt idx="471">
                        <c:v>1029</c:v>
                      </c:pt>
                      <c:pt idx="472">
                        <c:v>1028</c:v>
                      </c:pt>
                      <c:pt idx="473">
                        <c:v>1027</c:v>
                      </c:pt>
                      <c:pt idx="474">
                        <c:v>1026</c:v>
                      </c:pt>
                      <c:pt idx="475">
                        <c:v>1025</c:v>
                      </c:pt>
                      <c:pt idx="476">
                        <c:v>1024</c:v>
                      </c:pt>
                      <c:pt idx="477">
                        <c:v>1023</c:v>
                      </c:pt>
                      <c:pt idx="478">
                        <c:v>1022</c:v>
                      </c:pt>
                      <c:pt idx="479">
                        <c:v>1021</c:v>
                      </c:pt>
                      <c:pt idx="480">
                        <c:v>1020</c:v>
                      </c:pt>
                      <c:pt idx="481">
                        <c:v>1019</c:v>
                      </c:pt>
                      <c:pt idx="482">
                        <c:v>1018</c:v>
                      </c:pt>
                      <c:pt idx="483">
                        <c:v>1017</c:v>
                      </c:pt>
                      <c:pt idx="484">
                        <c:v>1016</c:v>
                      </c:pt>
                      <c:pt idx="485">
                        <c:v>1015</c:v>
                      </c:pt>
                      <c:pt idx="486">
                        <c:v>1014</c:v>
                      </c:pt>
                      <c:pt idx="487">
                        <c:v>1013</c:v>
                      </c:pt>
                      <c:pt idx="488">
                        <c:v>1012</c:v>
                      </c:pt>
                      <c:pt idx="489">
                        <c:v>1011</c:v>
                      </c:pt>
                      <c:pt idx="490">
                        <c:v>1010</c:v>
                      </c:pt>
                      <c:pt idx="491">
                        <c:v>1009</c:v>
                      </c:pt>
                      <c:pt idx="492">
                        <c:v>1008</c:v>
                      </c:pt>
                      <c:pt idx="493">
                        <c:v>1007</c:v>
                      </c:pt>
                      <c:pt idx="494">
                        <c:v>1006</c:v>
                      </c:pt>
                      <c:pt idx="495">
                        <c:v>1005</c:v>
                      </c:pt>
                      <c:pt idx="496">
                        <c:v>1004</c:v>
                      </c:pt>
                      <c:pt idx="497">
                        <c:v>1003</c:v>
                      </c:pt>
                      <c:pt idx="498">
                        <c:v>1002</c:v>
                      </c:pt>
                      <c:pt idx="499">
                        <c:v>1001</c:v>
                      </c:pt>
                      <c:pt idx="500">
                        <c:v>1000</c:v>
                      </c:pt>
                      <c:pt idx="501">
                        <c:v>999</c:v>
                      </c:pt>
                      <c:pt idx="502">
                        <c:v>998</c:v>
                      </c:pt>
                      <c:pt idx="503">
                        <c:v>997</c:v>
                      </c:pt>
                      <c:pt idx="504">
                        <c:v>996</c:v>
                      </c:pt>
                      <c:pt idx="505">
                        <c:v>995</c:v>
                      </c:pt>
                      <c:pt idx="506">
                        <c:v>994</c:v>
                      </c:pt>
                      <c:pt idx="507">
                        <c:v>993</c:v>
                      </c:pt>
                      <c:pt idx="508">
                        <c:v>992</c:v>
                      </c:pt>
                      <c:pt idx="509">
                        <c:v>991</c:v>
                      </c:pt>
                      <c:pt idx="510">
                        <c:v>990</c:v>
                      </c:pt>
                      <c:pt idx="511">
                        <c:v>989</c:v>
                      </c:pt>
                      <c:pt idx="512">
                        <c:v>988</c:v>
                      </c:pt>
                      <c:pt idx="513">
                        <c:v>987</c:v>
                      </c:pt>
                      <c:pt idx="514">
                        <c:v>986</c:v>
                      </c:pt>
                      <c:pt idx="515">
                        <c:v>985</c:v>
                      </c:pt>
                      <c:pt idx="516">
                        <c:v>984</c:v>
                      </c:pt>
                      <c:pt idx="517">
                        <c:v>983</c:v>
                      </c:pt>
                      <c:pt idx="518">
                        <c:v>982</c:v>
                      </c:pt>
                      <c:pt idx="519">
                        <c:v>981</c:v>
                      </c:pt>
                      <c:pt idx="520">
                        <c:v>980</c:v>
                      </c:pt>
                      <c:pt idx="521">
                        <c:v>979</c:v>
                      </c:pt>
                      <c:pt idx="522">
                        <c:v>978</c:v>
                      </c:pt>
                      <c:pt idx="523">
                        <c:v>977</c:v>
                      </c:pt>
                      <c:pt idx="524">
                        <c:v>976</c:v>
                      </c:pt>
                      <c:pt idx="525">
                        <c:v>975</c:v>
                      </c:pt>
                      <c:pt idx="526">
                        <c:v>974</c:v>
                      </c:pt>
                      <c:pt idx="527">
                        <c:v>973</c:v>
                      </c:pt>
                      <c:pt idx="528">
                        <c:v>972</c:v>
                      </c:pt>
                      <c:pt idx="529">
                        <c:v>971</c:v>
                      </c:pt>
                      <c:pt idx="530">
                        <c:v>970</c:v>
                      </c:pt>
                      <c:pt idx="531">
                        <c:v>969</c:v>
                      </c:pt>
                      <c:pt idx="532">
                        <c:v>968</c:v>
                      </c:pt>
                      <c:pt idx="533">
                        <c:v>967</c:v>
                      </c:pt>
                      <c:pt idx="534">
                        <c:v>966</c:v>
                      </c:pt>
                      <c:pt idx="535">
                        <c:v>965</c:v>
                      </c:pt>
                      <c:pt idx="536">
                        <c:v>964</c:v>
                      </c:pt>
                      <c:pt idx="537">
                        <c:v>963</c:v>
                      </c:pt>
                      <c:pt idx="538">
                        <c:v>962</c:v>
                      </c:pt>
                      <c:pt idx="539">
                        <c:v>961</c:v>
                      </c:pt>
                      <c:pt idx="540">
                        <c:v>960</c:v>
                      </c:pt>
                      <c:pt idx="541">
                        <c:v>959</c:v>
                      </c:pt>
                      <c:pt idx="542">
                        <c:v>958</c:v>
                      </c:pt>
                      <c:pt idx="543">
                        <c:v>957</c:v>
                      </c:pt>
                      <c:pt idx="544">
                        <c:v>956</c:v>
                      </c:pt>
                      <c:pt idx="545">
                        <c:v>955</c:v>
                      </c:pt>
                      <c:pt idx="546">
                        <c:v>954</c:v>
                      </c:pt>
                      <c:pt idx="547">
                        <c:v>953</c:v>
                      </c:pt>
                      <c:pt idx="548">
                        <c:v>952</c:v>
                      </c:pt>
                      <c:pt idx="549">
                        <c:v>951</c:v>
                      </c:pt>
                      <c:pt idx="550">
                        <c:v>950</c:v>
                      </c:pt>
                      <c:pt idx="551">
                        <c:v>949</c:v>
                      </c:pt>
                      <c:pt idx="552">
                        <c:v>948</c:v>
                      </c:pt>
                      <c:pt idx="553">
                        <c:v>947</c:v>
                      </c:pt>
                      <c:pt idx="554">
                        <c:v>946</c:v>
                      </c:pt>
                      <c:pt idx="555">
                        <c:v>945</c:v>
                      </c:pt>
                      <c:pt idx="556">
                        <c:v>944</c:v>
                      </c:pt>
                      <c:pt idx="557">
                        <c:v>943</c:v>
                      </c:pt>
                      <c:pt idx="558">
                        <c:v>942</c:v>
                      </c:pt>
                      <c:pt idx="559">
                        <c:v>941</c:v>
                      </c:pt>
                      <c:pt idx="560">
                        <c:v>940</c:v>
                      </c:pt>
                      <c:pt idx="561">
                        <c:v>939</c:v>
                      </c:pt>
                      <c:pt idx="562">
                        <c:v>938</c:v>
                      </c:pt>
                      <c:pt idx="563">
                        <c:v>937</c:v>
                      </c:pt>
                      <c:pt idx="564">
                        <c:v>936</c:v>
                      </c:pt>
                      <c:pt idx="565">
                        <c:v>935</c:v>
                      </c:pt>
                      <c:pt idx="566">
                        <c:v>934</c:v>
                      </c:pt>
                      <c:pt idx="567">
                        <c:v>933</c:v>
                      </c:pt>
                      <c:pt idx="568">
                        <c:v>932</c:v>
                      </c:pt>
                      <c:pt idx="569">
                        <c:v>931</c:v>
                      </c:pt>
                      <c:pt idx="570">
                        <c:v>930</c:v>
                      </c:pt>
                      <c:pt idx="571">
                        <c:v>929</c:v>
                      </c:pt>
                      <c:pt idx="572">
                        <c:v>928</c:v>
                      </c:pt>
                      <c:pt idx="573">
                        <c:v>927</c:v>
                      </c:pt>
                      <c:pt idx="574">
                        <c:v>926</c:v>
                      </c:pt>
                      <c:pt idx="575">
                        <c:v>925</c:v>
                      </c:pt>
                      <c:pt idx="576">
                        <c:v>924</c:v>
                      </c:pt>
                      <c:pt idx="577">
                        <c:v>923</c:v>
                      </c:pt>
                      <c:pt idx="578">
                        <c:v>922</c:v>
                      </c:pt>
                      <c:pt idx="579">
                        <c:v>921</c:v>
                      </c:pt>
                      <c:pt idx="580">
                        <c:v>920</c:v>
                      </c:pt>
                      <c:pt idx="581">
                        <c:v>919</c:v>
                      </c:pt>
                      <c:pt idx="582">
                        <c:v>918</c:v>
                      </c:pt>
                      <c:pt idx="583">
                        <c:v>917</c:v>
                      </c:pt>
                      <c:pt idx="584">
                        <c:v>916</c:v>
                      </c:pt>
                      <c:pt idx="585">
                        <c:v>915</c:v>
                      </c:pt>
                      <c:pt idx="586">
                        <c:v>914</c:v>
                      </c:pt>
                      <c:pt idx="587">
                        <c:v>913</c:v>
                      </c:pt>
                      <c:pt idx="588">
                        <c:v>912</c:v>
                      </c:pt>
                      <c:pt idx="589">
                        <c:v>911</c:v>
                      </c:pt>
                      <c:pt idx="590">
                        <c:v>910</c:v>
                      </c:pt>
                      <c:pt idx="591">
                        <c:v>909</c:v>
                      </c:pt>
                      <c:pt idx="592">
                        <c:v>908</c:v>
                      </c:pt>
                      <c:pt idx="593">
                        <c:v>907</c:v>
                      </c:pt>
                      <c:pt idx="594">
                        <c:v>906</c:v>
                      </c:pt>
                      <c:pt idx="595">
                        <c:v>905</c:v>
                      </c:pt>
                      <c:pt idx="596">
                        <c:v>904</c:v>
                      </c:pt>
                      <c:pt idx="597">
                        <c:v>903</c:v>
                      </c:pt>
                      <c:pt idx="598">
                        <c:v>902</c:v>
                      </c:pt>
                      <c:pt idx="599">
                        <c:v>901</c:v>
                      </c:pt>
                      <c:pt idx="600">
                        <c:v>900</c:v>
                      </c:pt>
                      <c:pt idx="601">
                        <c:v>899</c:v>
                      </c:pt>
                      <c:pt idx="602">
                        <c:v>898</c:v>
                      </c:pt>
                      <c:pt idx="603">
                        <c:v>897</c:v>
                      </c:pt>
                      <c:pt idx="604">
                        <c:v>896</c:v>
                      </c:pt>
                      <c:pt idx="605">
                        <c:v>895</c:v>
                      </c:pt>
                      <c:pt idx="606">
                        <c:v>894</c:v>
                      </c:pt>
                      <c:pt idx="607">
                        <c:v>893</c:v>
                      </c:pt>
                      <c:pt idx="608">
                        <c:v>892</c:v>
                      </c:pt>
                      <c:pt idx="609">
                        <c:v>891</c:v>
                      </c:pt>
                      <c:pt idx="610">
                        <c:v>890</c:v>
                      </c:pt>
                      <c:pt idx="611">
                        <c:v>889</c:v>
                      </c:pt>
                      <c:pt idx="612">
                        <c:v>888</c:v>
                      </c:pt>
                      <c:pt idx="613">
                        <c:v>887</c:v>
                      </c:pt>
                      <c:pt idx="614">
                        <c:v>886</c:v>
                      </c:pt>
                      <c:pt idx="615">
                        <c:v>885</c:v>
                      </c:pt>
                      <c:pt idx="616">
                        <c:v>884</c:v>
                      </c:pt>
                      <c:pt idx="617">
                        <c:v>883</c:v>
                      </c:pt>
                      <c:pt idx="618">
                        <c:v>882</c:v>
                      </c:pt>
                      <c:pt idx="619">
                        <c:v>881</c:v>
                      </c:pt>
                      <c:pt idx="620">
                        <c:v>880</c:v>
                      </c:pt>
                      <c:pt idx="621">
                        <c:v>879</c:v>
                      </c:pt>
                      <c:pt idx="622">
                        <c:v>878</c:v>
                      </c:pt>
                      <c:pt idx="623">
                        <c:v>877</c:v>
                      </c:pt>
                      <c:pt idx="624">
                        <c:v>876</c:v>
                      </c:pt>
                      <c:pt idx="625">
                        <c:v>875</c:v>
                      </c:pt>
                      <c:pt idx="626">
                        <c:v>874</c:v>
                      </c:pt>
                      <c:pt idx="627">
                        <c:v>873</c:v>
                      </c:pt>
                      <c:pt idx="628">
                        <c:v>872</c:v>
                      </c:pt>
                      <c:pt idx="629">
                        <c:v>871</c:v>
                      </c:pt>
                      <c:pt idx="630">
                        <c:v>870</c:v>
                      </c:pt>
                      <c:pt idx="631">
                        <c:v>869</c:v>
                      </c:pt>
                      <c:pt idx="632">
                        <c:v>868</c:v>
                      </c:pt>
                      <c:pt idx="633">
                        <c:v>867</c:v>
                      </c:pt>
                      <c:pt idx="634">
                        <c:v>866</c:v>
                      </c:pt>
                      <c:pt idx="635">
                        <c:v>865</c:v>
                      </c:pt>
                      <c:pt idx="636">
                        <c:v>864</c:v>
                      </c:pt>
                      <c:pt idx="637">
                        <c:v>863</c:v>
                      </c:pt>
                      <c:pt idx="638">
                        <c:v>862</c:v>
                      </c:pt>
                      <c:pt idx="639">
                        <c:v>861</c:v>
                      </c:pt>
                      <c:pt idx="640">
                        <c:v>860</c:v>
                      </c:pt>
                      <c:pt idx="641">
                        <c:v>859</c:v>
                      </c:pt>
                      <c:pt idx="642">
                        <c:v>858</c:v>
                      </c:pt>
                      <c:pt idx="643">
                        <c:v>857</c:v>
                      </c:pt>
                      <c:pt idx="644">
                        <c:v>856</c:v>
                      </c:pt>
                      <c:pt idx="645">
                        <c:v>855</c:v>
                      </c:pt>
                      <c:pt idx="646">
                        <c:v>854</c:v>
                      </c:pt>
                      <c:pt idx="647">
                        <c:v>853</c:v>
                      </c:pt>
                      <c:pt idx="648">
                        <c:v>852</c:v>
                      </c:pt>
                      <c:pt idx="649">
                        <c:v>851</c:v>
                      </c:pt>
                      <c:pt idx="650">
                        <c:v>850</c:v>
                      </c:pt>
                      <c:pt idx="651">
                        <c:v>849</c:v>
                      </c:pt>
                      <c:pt idx="652">
                        <c:v>848</c:v>
                      </c:pt>
                      <c:pt idx="653">
                        <c:v>847</c:v>
                      </c:pt>
                      <c:pt idx="654">
                        <c:v>846</c:v>
                      </c:pt>
                      <c:pt idx="655">
                        <c:v>845</c:v>
                      </c:pt>
                      <c:pt idx="656">
                        <c:v>844</c:v>
                      </c:pt>
                      <c:pt idx="657">
                        <c:v>843</c:v>
                      </c:pt>
                      <c:pt idx="658">
                        <c:v>842</c:v>
                      </c:pt>
                      <c:pt idx="659">
                        <c:v>841</c:v>
                      </c:pt>
                      <c:pt idx="660">
                        <c:v>840</c:v>
                      </c:pt>
                      <c:pt idx="661">
                        <c:v>839</c:v>
                      </c:pt>
                      <c:pt idx="662">
                        <c:v>838</c:v>
                      </c:pt>
                      <c:pt idx="663">
                        <c:v>837</c:v>
                      </c:pt>
                      <c:pt idx="664">
                        <c:v>836</c:v>
                      </c:pt>
                      <c:pt idx="665">
                        <c:v>835</c:v>
                      </c:pt>
                      <c:pt idx="666">
                        <c:v>834</c:v>
                      </c:pt>
                      <c:pt idx="667">
                        <c:v>833</c:v>
                      </c:pt>
                      <c:pt idx="668">
                        <c:v>832</c:v>
                      </c:pt>
                      <c:pt idx="669">
                        <c:v>831</c:v>
                      </c:pt>
                      <c:pt idx="670">
                        <c:v>830</c:v>
                      </c:pt>
                      <c:pt idx="671">
                        <c:v>829</c:v>
                      </c:pt>
                      <c:pt idx="672">
                        <c:v>828</c:v>
                      </c:pt>
                      <c:pt idx="673">
                        <c:v>827</c:v>
                      </c:pt>
                      <c:pt idx="674">
                        <c:v>826</c:v>
                      </c:pt>
                      <c:pt idx="675">
                        <c:v>825</c:v>
                      </c:pt>
                      <c:pt idx="676">
                        <c:v>824</c:v>
                      </c:pt>
                      <c:pt idx="677">
                        <c:v>823</c:v>
                      </c:pt>
                      <c:pt idx="678">
                        <c:v>822</c:v>
                      </c:pt>
                      <c:pt idx="679">
                        <c:v>821</c:v>
                      </c:pt>
                      <c:pt idx="680">
                        <c:v>820</c:v>
                      </c:pt>
                      <c:pt idx="681">
                        <c:v>819</c:v>
                      </c:pt>
                      <c:pt idx="682">
                        <c:v>818</c:v>
                      </c:pt>
                      <c:pt idx="683">
                        <c:v>817</c:v>
                      </c:pt>
                      <c:pt idx="684">
                        <c:v>816</c:v>
                      </c:pt>
                      <c:pt idx="685">
                        <c:v>815</c:v>
                      </c:pt>
                      <c:pt idx="686">
                        <c:v>814</c:v>
                      </c:pt>
                      <c:pt idx="687">
                        <c:v>813</c:v>
                      </c:pt>
                      <c:pt idx="688">
                        <c:v>812</c:v>
                      </c:pt>
                      <c:pt idx="689">
                        <c:v>811</c:v>
                      </c:pt>
                      <c:pt idx="690">
                        <c:v>810</c:v>
                      </c:pt>
                      <c:pt idx="691">
                        <c:v>809</c:v>
                      </c:pt>
                      <c:pt idx="692">
                        <c:v>808</c:v>
                      </c:pt>
                      <c:pt idx="693">
                        <c:v>807</c:v>
                      </c:pt>
                      <c:pt idx="694">
                        <c:v>806</c:v>
                      </c:pt>
                      <c:pt idx="695">
                        <c:v>805</c:v>
                      </c:pt>
                      <c:pt idx="696">
                        <c:v>804</c:v>
                      </c:pt>
                      <c:pt idx="697">
                        <c:v>803</c:v>
                      </c:pt>
                      <c:pt idx="698">
                        <c:v>802</c:v>
                      </c:pt>
                      <c:pt idx="699">
                        <c:v>801</c:v>
                      </c:pt>
                      <c:pt idx="700">
                        <c:v>800</c:v>
                      </c:pt>
                      <c:pt idx="701">
                        <c:v>799</c:v>
                      </c:pt>
                      <c:pt idx="702">
                        <c:v>798</c:v>
                      </c:pt>
                      <c:pt idx="703">
                        <c:v>797</c:v>
                      </c:pt>
                      <c:pt idx="704">
                        <c:v>796</c:v>
                      </c:pt>
                      <c:pt idx="705">
                        <c:v>795</c:v>
                      </c:pt>
                      <c:pt idx="706">
                        <c:v>794</c:v>
                      </c:pt>
                      <c:pt idx="707">
                        <c:v>793</c:v>
                      </c:pt>
                      <c:pt idx="708">
                        <c:v>792</c:v>
                      </c:pt>
                      <c:pt idx="709">
                        <c:v>791</c:v>
                      </c:pt>
                      <c:pt idx="710">
                        <c:v>790</c:v>
                      </c:pt>
                      <c:pt idx="711">
                        <c:v>789</c:v>
                      </c:pt>
                      <c:pt idx="712">
                        <c:v>788</c:v>
                      </c:pt>
                      <c:pt idx="713">
                        <c:v>787</c:v>
                      </c:pt>
                      <c:pt idx="714">
                        <c:v>786</c:v>
                      </c:pt>
                      <c:pt idx="715">
                        <c:v>785</c:v>
                      </c:pt>
                      <c:pt idx="716">
                        <c:v>784</c:v>
                      </c:pt>
                      <c:pt idx="717">
                        <c:v>783</c:v>
                      </c:pt>
                      <c:pt idx="718">
                        <c:v>782</c:v>
                      </c:pt>
                      <c:pt idx="719">
                        <c:v>781</c:v>
                      </c:pt>
                      <c:pt idx="720">
                        <c:v>780</c:v>
                      </c:pt>
                      <c:pt idx="721">
                        <c:v>779</c:v>
                      </c:pt>
                      <c:pt idx="722">
                        <c:v>778</c:v>
                      </c:pt>
                      <c:pt idx="723">
                        <c:v>777</c:v>
                      </c:pt>
                      <c:pt idx="724">
                        <c:v>776</c:v>
                      </c:pt>
                      <c:pt idx="725">
                        <c:v>775</c:v>
                      </c:pt>
                      <c:pt idx="726">
                        <c:v>774</c:v>
                      </c:pt>
                      <c:pt idx="727">
                        <c:v>773</c:v>
                      </c:pt>
                      <c:pt idx="728">
                        <c:v>772</c:v>
                      </c:pt>
                      <c:pt idx="729">
                        <c:v>771</c:v>
                      </c:pt>
                      <c:pt idx="730">
                        <c:v>770</c:v>
                      </c:pt>
                      <c:pt idx="731">
                        <c:v>769</c:v>
                      </c:pt>
                      <c:pt idx="732">
                        <c:v>768</c:v>
                      </c:pt>
                      <c:pt idx="733">
                        <c:v>767</c:v>
                      </c:pt>
                      <c:pt idx="734">
                        <c:v>766</c:v>
                      </c:pt>
                      <c:pt idx="735">
                        <c:v>765</c:v>
                      </c:pt>
                      <c:pt idx="736">
                        <c:v>764</c:v>
                      </c:pt>
                      <c:pt idx="737">
                        <c:v>763</c:v>
                      </c:pt>
                      <c:pt idx="738">
                        <c:v>762</c:v>
                      </c:pt>
                      <c:pt idx="739">
                        <c:v>761</c:v>
                      </c:pt>
                      <c:pt idx="740">
                        <c:v>760</c:v>
                      </c:pt>
                      <c:pt idx="741">
                        <c:v>759</c:v>
                      </c:pt>
                      <c:pt idx="742">
                        <c:v>758</c:v>
                      </c:pt>
                      <c:pt idx="743">
                        <c:v>757</c:v>
                      </c:pt>
                      <c:pt idx="744">
                        <c:v>756</c:v>
                      </c:pt>
                      <c:pt idx="745">
                        <c:v>755</c:v>
                      </c:pt>
                      <c:pt idx="746">
                        <c:v>754</c:v>
                      </c:pt>
                      <c:pt idx="747">
                        <c:v>753</c:v>
                      </c:pt>
                      <c:pt idx="748">
                        <c:v>752</c:v>
                      </c:pt>
                      <c:pt idx="749">
                        <c:v>751</c:v>
                      </c:pt>
                      <c:pt idx="750">
                        <c:v>750</c:v>
                      </c:pt>
                      <c:pt idx="751">
                        <c:v>749</c:v>
                      </c:pt>
                      <c:pt idx="752">
                        <c:v>748</c:v>
                      </c:pt>
                      <c:pt idx="753">
                        <c:v>747</c:v>
                      </c:pt>
                      <c:pt idx="754">
                        <c:v>746</c:v>
                      </c:pt>
                      <c:pt idx="755">
                        <c:v>745</c:v>
                      </c:pt>
                      <c:pt idx="756">
                        <c:v>744</c:v>
                      </c:pt>
                      <c:pt idx="757">
                        <c:v>743</c:v>
                      </c:pt>
                      <c:pt idx="758">
                        <c:v>742</c:v>
                      </c:pt>
                      <c:pt idx="759">
                        <c:v>741</c:v>
                      </c:pt>
                      <c:pt idx="760">
                        <c:v>740</c:v>
                      </c:pt>
                      <c:pt idx="761">
                        <c:v>739</c:v>
                      </c:pt>
                      <c:pt idx="762">
                        <c:v>738</c:v>
                      </c:pt>
                      <c:pt idx="763">
                        <c:v>737</c:v>
                      </c:pt>
                      <c:pt idx="764">
                        <c:v>736</c:v>
                      </c:pt>
                      <c:pt idx="765">
                        <c:v>735</c:v>
                      </c:pt>
                      <c:pt idx="766">
                        <c:v>734</c:v>
                      </c:pt>
                      <c:pt idx="767">
                        <c:v>733</c:v>
                      </c:pt>
                      <c:pt idx="768">
                        <c:v>732</c:v>
                      </c:pt>
                      <c:pt idx="769">
                        <c:v>731</c:v>
                      </c:pt>
                      <c:pt idx="770">
                        <c:v>730</c:v>
                      </c:pt>
                      <c:pt idx="771">
                        <c:v>729</c:v>
                      </c:pt>
                      <c:pt idx="772">
                        <c:v>728</c:v>
                      </c:pt>
                      <c:pt idx="773">
                        <c:v>727</c:v>
                      </c:pt>
                      <c:pt idx="774">
                        <c:v>726</c:v>
                      </c:pt>
                      <c:pt idx="775">
                        <c:v>725</c:v>
                      </c:pt>
                      <c:pt idx="776">
                        <c:v>724</c:v>
                      </c:pt>
                      <c:pt idx="777">
                        <c:v>723</c:v>
                      </c:pt>
                      <c:pt idx="778">
                        <c:v>722</c:v>
                      </c:pt>
                      <c:pt idx="779">
                        <c:v>721</c:v>
                      </c:pt>
                      <c:pt idx="780">
                        <c:v>720</c:v>
                      </c:pt>
                      <c:pt idx="781">
                        <c:v>719</c:v>
                      </c:pt>
                      <c:pt idx="782">
                        <c:v>718</c:v>
                      </c:pt>
                      <c:pt idx="783">
                        <c:v>717</c:v>
                      </c:pt>
                      <c:pt idx="784">
                        <c:v>716</c:v>
                      </c:pt>
                      <c:pt idx="785">
                        <c:v>715</c:v>
                      </c:pt>
                      <c:pt idx="786">
                        <c:v>714</c:v>
                      </c:pt>
                      <c:pt idx="787">
                        <c:v>713</c:v>
                      </c:pt>
                      <c:pt idx="788">
                        <c:v>712</c:v>
                      </c:pt>
                      <c:pt idx="789">
                        <c:v>711</c:v>
                      </c:pt>
                      <c:pt idx="790">
                        <c:v>710</c:v>
                      </c:pt>
                      <c:pt idx="791">
                        <c:v>709</c:v>
                      </c:pt>
                      <c:pt idx="792">
                        <c:v>708</c:v>
                      </c:pt>
                      <c:pt idx="793">
                        <c:v>707</c:v>
                      </c:pt>
                      <c:pt idx="794">
                        <c:v>706</c:v>
                      </c:pt>
                      <c:pt idx="795">
                        <c:v>705</c:v>
                      </c:pt>
                      <c:pt idx="796">
                        <c:v>704</c:v>
                      </c:pt>
                      <c:pt idx="797">
                        <c:v>703</c:v>
                      </c:pt>
                      <c:pt idx="798">
                        <c:v>702</c:v>
                      </c:pt>
                      <c:pt idx="799">
                        <c:v>701</c:v>
                      </c:pt>
                      <c:pt idx="800">
                        <c:v>700</c:v>
                      </c:pt>
                      <c:pt idx="801">
                        <c:v>699</c:v>
                      </c:pt>
                      <c:pt idx="802">
                        <c:v>698</c:v>
                      </c:pt>
                      <c:pt idx="803">
                        <c:v>697</c:v>
                      </c:pt>
                      <c:pt idx="804">
                        <c:v>696</c:v>
                      </c:pt>
                      <c:pt idx="805">
                        <c:v>695</c:v>
                      </c:pt>
                      <c:pt idx="806">
                        <c:v>694</c:v>
                      </c:pt>
                      <c:pt idx="807">
                        <c:v>693</c:v>
                      </c:pt>
                      <c:pt idx="808">
                        <c:v>692</c:v>
                      </c:pt>
                      <c:pt idx="809">
                        <c:v>691</c:v>
                      </c:pt>
                      <c:pt idx="810">
                        <c:v>690</c:v>
                      </c:pt>
                      <c:pt idx="811">
                        <c:v>689</c:v>
                      </c:pt>
                      <c:pt idx="812">
                        <c:v>688</c:v>
                      </c:pt>
                      <c:pt idx="813">
                        <c:v>687</c:v>
                      </c:pt>
                      <c:pt idx="814">
                        <c:v>686</c:v>
                      </c:pt>
                      <c:pt idx="815">
                        <c:v>685</c:v>
                      </c:pt>
                      <c:pt idx="816">
                        <c:v>684</c:v>
                      </c:pt>
                      <c:pt idx="817">
                        <c:v>683</c:v>
                      </c:pt>
                      <c:pt idx="818">
                        <c:v>682</c:v>
                      </c:pt>
                      <c:pt idx="819">
                        <c:v>681</c:v>
                      </c:pt>
                      <c:pt idx="820">
                        <c:v>680</c:v>
                      </c:pt>
                      <c:pt idx="821">
                        <c:v>679</c:v>
                      </c:pt>
                      <c:pt idx="822">
                        <c:v>678</c:v>
                      </c:pt>
                      <c:pt idx="823">
                        <c:v>677</c:v>
                      </c:pt>
                      <c:pt idx="824">
                        <c:v>676</c:v>
                      </c:pt>
                      <c:pt idx="825">
                        <c:v>675</c:v>
                      </c:pt>
                      <c:pt idx="826">
                        <c:v>674</c:v>
                      </c:pt>
                      <c:pt idx="827">
                        <c:v>673</c:v>
                      </c:pt>
                      <c:pt idx="828">
                        <c:v>672</c:v>
                      </c:pt>
                      <c:pt idx="829">
                        <c:v>671</c:v>
                      </c:pt>
                      <c:pt idx="830">
                        <c:v>670</c:v>
                      </c:pt>
                      <c:pt idx="831">
                        <c:v>669</c:v>
                      </c:pt>
                      <c:pt idx="832">
                        <c:v>668</c:v>
                      </c:pt>
                      <c:pt idx="833">
                        <c:v>667</c:v>
                      </c:pt>
                      <c:pt idx="834">
                        <c:v>666</c:v>
                      </c:pt>
                      <c:pt idx="835">
                        <c:v>665</c:v>
                      </c:pt>
                      <c:pt idx="836">
                        <c:v>664</c:v>
                      </c:pt>
                      <c:pt idx="837">
                        <c:v>663</c:v>
                      </c:pt>
                      <c:pt idx="838">
                        <c:v>662</c:v>
                      </c:pt>
                      <c:pt idx="839">
                        <c:v>661</c:v>
                      </c:pt>
                      <c:pt idx="840">
                        <c:v>660</c:v>
                      </c:pt>
                      <c:pt idx="841">
                        <c:v>659</c:v>
                      </c:pt>
                      <c:pt idx="842">
                        <c:v>658</c:v>
                      </c:pt>
                      <c:pt idx="843">
                        <c:v>657</c:v>
                      </c:pt>
                      <c:pt idx="844">
                        <c:v>656</c:v>
                      </c:pt>
                      <c:pt idx="845">
                        <c:v>655</c:v>
                      </c:pt>
                      <c:pt idx="846">
                        <c:v>654</c:v>
                      </c:pt>
                      <c:pt idx="847">
                        <c:v>653</c:v>
                      </c:pt>
                      <c:pt idx="848">
                        <c:v>652</c:v>
                      </c:pt>
                      <c:pt idx="849">
                        <c:v>651</c:v>
                      </c:pt>
                      <c:pt idx="850">
                        <c:v>650</c:v>
                      </c:pt>
                      <c:pt idx="851">
                        <c:v>649</c:v>
                      </c:pt>
                      <c:pt idx="852">
                        <c:v>648</c:v>
                      </c:pt>
                      <c:pt idx="853">
                        <c:v>647</c:v>
                      </c:pt>
                      <c:pt idx="854">
                        <c:v>646</c:v>
                      </c:pt>
                      <c:pt idx="855">
                        <c:v>645</c:v>
                      </c:pt>
                      <c:pt idx="856">
                        <c:v>644</c:v>
                      </c:pt>
                      <c:pt idx="857">
                        <c:v>643</c:v>
                      </c:pt>
                      <c:pt idx="858">
                        <c:v>642</c:v>
                      </c:pt>
                      <c:pt idx="859">
                        <c:v>641</c:v>
                      </c:pt>
                      <c:pt idx="860">
                        <c:v>640</c:v>
                      </c:pt>
                      <c:pt idx="861">
                        <c:v>639</c:v>
                      </c:pt>
                      <c:pt idx="862">
                        <c:v>638</c:v>
                      </c:pt>
                      <c:pt idx="863">
                        <c:v>637</c:v>
                      </c:pt>
                      <c:pt idx="864">
                        <c:v>636</c:v>
                      </c:pt>
                      <c:pt idx="865">
                        <c:v>635</c:v>
                      </c:pt>
                      <c:pt idx="866">
                        <c:v>634</c:v>
                      </c:pt>
                      <c:pt idx="867">
                        <c:v>633</c:v>
                      </c:pt>
                      <c:pt idx="868">
                        <c:v>632</c:v>
                      </c:pt>
                      <c:pt idx="869">
                        <c:v>631</c:v>
                      </c:pt>
                      <c:pt idx="870">
                        <c:v>630</c:v>
                      </c:pt>
                      <c:pt idx="871">
                        <c:v>629</c:v>
                      </c:pt>
                      <c:pt idx="872">
                        <c:v>628</c:v>
                      </c:pt>
                      <c:pt idx="873">
                        <c:v>627</c:v>
                      </c:pt>
                      <c:pt idx="874">
                        <c:v>626</c:v>
                      </c:pt>
                      <c:pt idx="875">
                        <c:v>625</c:v>
                      </c:pt>
                      <c:pt idx="876">
                        <c:v>624</c:v>
                      </c:pt>
                      <c:pt idx="877">
                        <c:v>623</c:v>
                      </c:pt>
                      <c:pt idx="878">
                        <c:v>622</c:v>
                      </c:pt>
                      <c:pt idx="879">
                        <c:v>621</c:v>
                      </c:pt>
                      <c:pt idx="880">
                        <c:v>620</c:v>
                      </c:pt>
                      <c:pt idx="881">
                        <c:v>619</c:v>
                      </c:pt>
                      <c:pt idx="882">
                        <c:v>618</c:v>
                      </c:pt>
                      <c:pt idx="883">
                        <c:v>617</c:v>
                      </c:pt>
                      <c:pt idx="884">
                        <c:v>616</c:v>
                      </c:pt>
                      <c:pt idx="885">
                        <c:v>615</c:v>
                      </c:pt>
                      <c:pt idx="886">
                        <c:v>614</c:v>
                      </c:pt>
                      <c:pt idx="887">
                        <c:v>613</c:v>
                      </c:pt>
                      <c:pt idx="888">
                        <c:v>612</c:v>
                      </c:pt>
                      <c:pt idx="889">
                        <c:v>611</c:v>
                      </c:pt>
                      <c:pt idx="890">
                        <c:v>610</c:v>
                      </c:pt>
                      <c:pt idx="891">
                        <c:v>609</c:v>
                      </c:pt>
                      <c:pt idx="892">
                        <c:v>608</c:v>
                      </c:pt>
                      <c:pt idx="893">
                        <c:v>607</c:v>
                      </c:pt>
                      <c:pt idx="894">
                        <c:v>606</c:v>
                      </c:pt>
                      <c:pt idx="895">
                        <c:v>605</c:v>
                      </c:pt>
                      <c:pt idx="896">
                        <c:v>604</c:v>
                      </c:pt>
                      <c:pt idx="897">
                        <c:v>603</c:v>
                      </c:pt>
                      <c:pt idx="898">
                        <c:v>602</c:v>
                      </c:pt>
                      <c:pt idx="899">
                        <c:v>601</c:v>
                      </c:pt>
                      <c:pt idx="900">
                        <c:v>600</c:v>
                      </c:pt>
                      <c:pt idx="901">
                        <c:v>599</c:v>
                      </c:pt>
                      <c:pt idx="902">
                        <c:v>598</c:v>
                      </c:pt>
                      <c:pt idx="903">
                        <c:v>597</c:v>
                      </c:pt>
                      <c:pt idx="904">
                        <c:v>596</c:v>
                      </c:pt>
                      <c:pt idx="905">
                        <c:v>595</c:v>
                      </c:pt>
                      <c:pt idx="906">
                        <c:v>594</c:v>
                      </c:pt>
                      <c:pt idx="907">
                        <c:v>593</c:v>
                      </c:pt>
                      <c:pt idx="908">
                        <c:v>592</c:v>
                      </c:pt>
                      <c:pt idx="909">
                        <c:v>591</c:v>
                      </c:pt>
                      <c:pt idx="910">
                        <c:v>590</c:v>
                      </c:pt>
                      <c:pt idx="911">
                        <c:v>589</c:v>
                      </c:pt>
                      <c:pt idx="912">
                        <c:v>588</c:v>
                      </c:pt>
                      <c:pt idx="913">
                        <c:v>587</c:v>
                      </c:pt>
                      <c:pt idx="914">
                        <c:v>586</c:v>
                      </c:pt>
                      <c:pt idx="915">
                        <c:v>585</c:v>
                      </c:pt>
                      <c:pt idx="916">
                        <c:v>584</c:v>
                      </c:pt>
                      <c:pt idx="917">
                        <c:v>583</c:v>
                      </c:pt>
                      <c:pt idx="918">
                        <c:v>582</c:v>
                      </c:pt>
                      <c:pt idx="919">
                        <c:v>581</c:v>
                      </c:pt>
                      <c:pt idx="920">
                        <c:v>580</c:v>
                      </c:pt>
                      <c:pt idx="921">
                        <c:v>579</c:v>
                      </c:pt>
                      <c:pt idx="922">
                        <c:v>578</c:v>
                      </c:pt>
                      <c:pt idx="923">
                        <c:v>577</c:v>
                      </c:pt>
                      <c:pt idx="924">
                        <c:v>576</c:v>
                      </c:pt>
                      <c:pt idx="925">
                        <c:v>575</c:v>
                      </c:pt>
                      <c:pt idx="926">
                        <c:v>574</c:v>
                      </c:pt>
                      <c:pt idx="927">
                        <c:v>573</c:v>
                      </c:pt>
                      <c:pt idx="928">
                        <c:v>572</c:v>
                      </c:pt>
                      <c:pt idx="929">
                        <c:v>571</c:v>
                      </c:pt>
                      <c:pt idx="930">
                        <c:v>570</c:v>
                      </c:pt>
                      <c:pt idx="931">
                        <c:v>569</c:v>
                      </c:pt>
                      <c:pt idx="932">
                        <c:v>568</c:v>
                      </c:pt>
                      <c:pt idx="933">
                        <c:v>567</c:v>
                      </c:pt>
                      <c:pt idx="934">
                        <c:v>566</c:v>
                      </c:pt>
                      <c:pt idx="935">
                        <c:v>565</c:v>
                      </c:pt>
                      <c:pt idx="936">
                        <c:v>564</c:v>
                      </c:pt>
                      <c:pt idx="937">
                        <c:v>563</c:v>
                      </c:pt>
                      <c:pt idx="938">
                        <c:v>562</c:v>
                      </c:pt>
                      <c:pt idx="939">
                        <c:v>561</c:v>
                      </c:pt>
                      <c:pt idx="940">
                        <c:v>560</c:v>
                      </c:pt>
                      <c:pt idx="941">
                        <c:v>559</c:v>
                      </c:pt>
                      <c:pt idx="942">
                        <c:v>558</c:v>
                      </c:pt>
                      <c:pt idx="943">
                        <c:v>557</c:v>
                      </c:pt>
                      <c:pt idx="944">
                        <c:v>556</c:v>
                      </c:pt>
                      <c:pt idx="945">
                        <c:v>555</c:v>
                      </c:pt>
                      <c:pt idx="946">
                        <c:v>554</c:v>
                      </c:pt>
                      <c:pt idx="947">
                        <c:v>553</c:v>
                      </c:pt>
                      <c:pt idx="948">
                        <c:v>552</c:v>
                      </c:pt>
                      <c:pt idx="949">
                        <c:v>551</c:v>
                      </c:pt>
                      <c:pt idx="950">
                        <c:v>550</c:v>
                      </c:pt>
                      <c:pt idx="951">
                        <c:v>549</c:v>
                      </c:pt>
                      <c:pt idx="952">
                        <c:v>548</c:v>
                      </c:pt>
                      <c:pt idx="953">
                        <c:v>547</c:v>
                      </c:pt>
                      <c:pt idx="954">
                        <c:v>546</c:v>
                      </c:pt>
                      <c:pt idx="955">
                        <c:v>545</c:v>
                      </c:pt>
                      <c:pt idx="956">
                        <c:v>544</c:v>
                      </c:pt>
                      <c:pt idx="957">
                        <c:v>543</c:v>
                      </c:pt>
                      <c:pt idx="958">
                        <c:v>542</c:v>
                      </c:pt>
                      <c:pt idx="959">
                        <c:v>541</c:v>
                      </c:pt>
                      <c:pt idx="960">
                        <c:v>540</c:v>
                      </c:pt>
                      <c:pt idx="961">
                        <c:v>539</c:v>
                      </c:pt>
                      <c:pt idx="962">
                        <c:v>538</c:v>
                      </c:pt>
                      <c:pt idx="963">
                        <c:v>537</c:v>
                      </c:pt>
                      <c:pt idx="964">
                        <c:v>536</c:v>
                      </c:pt>
                      <c:pt idx="965">
                        <c:v>535</c:v>
                      </c:pt>
                      <c:pt idx="966">
                        <c:v>534</c:v>
                      </c:pt>
                      <c:pt idx="967">
                        <c:v>533</c:v>
                      </c:pt>
                      <c:pt idx="968">
                        <c:v>532</c:v>
                      </c:pt>
                      <c:pt idx="969">
                        <c:v>531</c:v>
                      </c:pt>
                      <c:pt idx="970">
                        <c:v>530</c:v>
                      </c:pt>
                      <c:pt idx="971">
                        <c:v>529</c:v>
                      </c:pt>
                      <c:pt idx="972">
                        <c:v>528</c:v>
                      </c:pt>
                      <c:pt idx="973">
                        <c:v>527</c:v>
                      </c:pt>
                      <c:pt idx="974">
                        <c:v>526</c:v>
                      </c:pt>
                      <c:pt idx="975">
                        <c:v>525</c:v>
                      </c:pt>
                      <c:pt idx="976">
                        <c:v>524</c:v>
                      </c:pt>
                      <c:pt idx="977">
                        <c:v>523</c:v>
                      </c:pt>
                      <c:pt idx="978">
                        <c:v>522</c:v>
                      </c:pt>
                      <c:pt idx="979">
                        <c:v>521</c:v>
                      </c:pt>
                      <c:pt idx="980">
                        <c:v>520</c:v>
                      </c:pt>
                      <c:pt idx="981">
                        <c:v>519</c:v>
                      </c:pt>
                      <c:pt idx="982">
                        <c:v>518</c:v>
                      </c:pt>
                      <c:pt idx="983">
                        <c:v>517</c:v>
                      </c:pt>
                      <c:pt idx="984">
                        <c:v>516</c:v>
                      </c:pt>
                      <c:pt idx="985">
                        <c:v>515</c:v>
                      </c:pt>
                      <c:pt idx="986">
                        <c:v>514</c:v>
                      </c:pt>
                      <c:pt idx="987">
                        <c:v>513</c:v>
                      </c:pt>
                      <c:pt idx="988">
                        <c:v>512</c:v>
                      </c:pt>
                      <c:pt idx="989">
                        <c:v>511</c:v>
                      </c:pt>
                      <c:pt idx="990">
                        <c:v>510</c:v>
                      </c:pt>
                      <c:pt idx="991">
                        <c:v>509</c:v>
                      </c:pt>
                      <c:pt idx="992">
                        <c:v>508</c:v>
                      </c:pt>
                      <c:pt idx="993">
                        <c:v>507</c:v>
                      </c:pt>
                      <c:pt idx="994">
                        <c:v>506</c:v>
                      </c:pt>
                      <c:pt idx="995">
                        <c:v>505</c:v>
                      </c:pt>
                      <c:pt idx="996">
                        <c:v>504</c:v>
                      </c:pt>
                      <c:pt idx="997">
                        <c:v>503</c:v>
                      </c:pt>
                      <c:pt idx="998">
                        <c:v>502</c:v>
                      </c:pt>
                      <c:pt idx="999">
                        <c:v>501</c:v>
                      </c:pt>
                      <c:pt idx="1000">
                        <c:v>500</c:v>
                      </c:pt>
                      <c:pt idx="1001">
                        <c:v>499</c:v>
                      </c:pt>
                      <c:pt idx="1002">
                        <c:v>498</c:v>
                      </c:pt>
                      <c:pt idx="1003">
                        <c:v>497</c:v>
                      </c:pt>
                      <c:pt idx="1004">
                        <c:v>496</c:v>
                      </c:pt>
                      <c:pt idx="1005">
                        <c:v>495</c:v>
                      </c:pt>
                      <c:pt idx="1006">
                        <c:v>494</c:v>
                      </c:pt>
                      <c:pt idx="1007">
                        <c:v>493</c:v>
                      </c:pt>
                      <c:pt idx="1008">
                        <c:v>492</c:v>
                      </c:pt>
                      <c:pt idx="1009">
                        <c:v>491</c:v>
                      </c:pt>
                      <c:pt idx="1010">
                        <c:v>490</c:v>
                      </c:pt>
                      <c:pt idx="1011">
                        <c:v>489</c:v>
                      </c:pt>
                      <c:pt idx="1012">
                        <c:v>488</c:v>
                      </c:pt>
                      <c:pt idx="1013">
                        <c:v>487</c:v>
                      </c:pt>
                      <c:pt idx="1014">
                        <c:v>486</c:v>
                      </c:pt>
                      <c:pt idx="1015">
                        <c:v>485</c:v>
                      </c:pt>
                      <c:pt idx="1016">
                        <c:v>484</c:v>
                      </c:pt>
                      <c:pt idx="1017">
                        <c:v>483</c:v>
                      </c:pt>
                      <c:pt idx="1018">
                        <c:v>482</c:v>
                      </c:pt>
                      <c:pt idx="1019">
                        <c:v>481</c:v>
                      </c:pt>
                      <c:pt idx="1020">
                        <c:v>480</c:v>
                      </c:pt>
                      <c:pt idx="1021">
                        <c:v>479</c:v>
                      </c:pt>
                      <c:pt idx="1022">
                        <c:v>478</c:v>
                      </c:pt>
                      <c:pt idx="1023">
                        <c:v>477</c:v>
                      </c:pt>
                      <c:pt idx="1024">
                        <c:v>476</c:v>
                      </c:pt>
                      <c:pt idx="1025">
                        <c:v>475</c:v>
                      </c:pt>
                      <c:pt idx="1026">
                        <c:v>474</c:v>
                      </c:pt>
                      <c:pt idx="1027">
                        <c:v>473</c:v>
                      </c:pt>
                      <c:pt idx="1028">
                        <c:v>472</c:v>
                      </c:pt>
                      <c:pt idx="1029">
                        <c:v>471</c:v>
                      </c:pt>
                      <c:pt idx="1030">
                        <c:v>470</c:v>
                      </c:pt>
                      <c:pt idx="1031">
                        <c:v>469</c:v>
                      </c:pt>
                      <c:pt idx="1032">
                        <c:v>468</c:v>
                      </c:pt>
                      <c:pt idx="1033">
                        <c:v>467</c:v>
                      </c:pt>
                      <c:pt idx="1034">
                        <c:v>466</c:v>
                      </c:pt>
                      <c:pt idx="1035">
                        <c:v>465</c:v>
                      </c:pt>
                      <c:pt idx="1036">
                        <c:v>464</c:v>
                      </c:pt>
                      <c:pt idx="1037">
                        <c:v>463</c:v>
                      </c:pt>
                      <c:pt idx="1038">
                        <c:v>462</c:v>
                      </c:pt>
                      <c:pt idx="1039">
                        <c:v>461</c:v>
                      </c:pt>
                      <c:pt idx="1040">
                        <c:v>460</c:v>
                      </c:pt>
                      <c:pt idx="1041">
                        <c:v>459</c:v>
                      </c:pt>
                      <c:pt idx="1042">
                        <c:v>458</c:v>
                      </c:pt>
                      <c:pt idx="1043">
                        <c:v>457</c:v>
                      </c:pt>
                      <c:pt idx="1044">
                        <c:v>456</c:v>
                      </c:pt>
                      <c:pt idx="1045">
                        <c:v>455</c:v>
                      </c:pt>
                      <c:pt idx="1046">
                        <c:v>454</c:v>
                      </c:pt>
                      <c:pt idx="1047">
                        <c:v>453</c:v>
                      </c:pt>
                      <c:pt idx="1048">
                        <c:v>452</c:v>
                      </c:pt>
                      <c:pt idx="1049">
                        <c:v>451</c:v>
                      </c:pt>
                      <c:pt idx="1050">
                        <c:v>450</c:v>
                      </c:pt>
                      <c:pt idx="1051">
                        <c:v>449</c:v>
                      </c:pt>
                      <c:pt idx="1052">
                        <c:v>448</c:v>
                      </c:pt>
                      <c:pt idx="1053">
                        <c:v>447</c:v>
                      </c:pt>
                      <c:pt idx="1054">
                        <c:v>446</c:v>
                      </c:pt>
                      <c:pt idx="1055">
                        <c:v>445</c:v>
                      </c:pt>
                      <c:pt idx="1056">
                        <c:v>444</c:v>
                      </c:pt>
                      <c:pt idx="1057">
                        <c:v>443</c:v>
                      </c:pt>
                      <c:pt idx="1058">
                        <c:v>442</c:v>
                      </c:pt>
                      <c:pt idx="1059">
                        <c:v>441</c:v>
                      </c:pt>
                      <c:pt idx="1060">
                        <c:v>440</c:v>
                      </c:pt>
                      <c:pt idx="1061">
                        <c:v>439</c:v>
                      </c:pt>
                      <c:pt idx="1062">
                        <c:v>438</c:v>
                      </c:pt>
                      <c:pt idx="1063">
                        <c:v>437</c:v>
                      </c:pt>
                      <c:pt idx="1064">
                        <c:v>436</c:v>
                      </c:pt>
                      <c:pt idx="1065">
                        <c:v>435</c:v>
                      </c:pt>
                      <c:pt idx="1066">
                        <c:v>434</c:v>
                      </c:pt>
                      <c:pt idx="1067">
                        <c:v>433</c:v>
                      </c:pt>
                      <c:pt idx="1068">
                        <c:v>432</c:v>
                      </c:pt>
                      <c:pt idx="1069">
                        <c:v>431</c:v>
                      </c:pt>
                      <c:pt idx="1070">
                        <c:v>430</c:v>
                      </c:pt>
                      <c:pt idx="1071">
                        <c:v>429</c:v>
                      </c:pt>
                      <c:pt idx="1072">
                        <c:v>428</c:v>
                      </c:pt>
                      <c:pt idx="1073">
                        <c:v>427</c:v>
                      </c:pt>
                      <c:pt idx="1074">
                        <c:v>426</c:v>
                      </c:pt>
                      <c:pt idx="1075">
                        <c:v>425</c:v>
                      </c:pt>
                      <c:pt idx="1076">
                        <c:v>424</c:v>
                      </c:pt>
                      <c:pt idx="1077">
                        <c:v>423</c:v>
                      </c:pt>
                      <c:pt idx="1078">
                        <c:v>422</c:v>
                      </c:pt>
                      <c:pt idx="1079">
                        <c:v>421</c:v>
                      </c:pt>
                      <c:pt idx="1080">
                        <c:v>420</c:v>
                      </c:pt>
                      <c:pt idx="1081">
                        <c:v>419</c:v>
                      </c:pt>
                      <c:pt idx="1082">
                        <c:v>418</c:v>
                      </c:pt>
                      <c:pt idx="1083">
                        <c:v>417</c:v>
                      </c:pt>
                      <c:pt idx="1084">
                        <c:v>416</c:v>
                      </c:pt>
                      <c:pt idx="1085">
                        <c:v>415</c:v>
                      </c:pt>
                      <c:pt idx="1086">
                        <c:v>414</c:v>
                      </c:pt>
                      <c:pt idx="1087">
                        <c:v>413</c:v>
                      </c:pt>
                      <c:pt idx="1088">
                        <c:v>412</c:v>
                      </c:pt>
                      <c:pt idx="1089">
                        <c:v>411</c:v>
                      </c:pt>
                      <c:pt idx="1090">
                        <c:v>410</c:v>
                      </c:pt>
                      <c:pt idx="1091">
                        <c:v>409</c:v>
                      </c:pt>
                      <c:pt idx="1092">
                        <c:v>408</c:v>
                      </c:pt>
                      <c:pt idx="1093">
                        <c:v>407</c:v>
                      </c:pt>
                      <c:pt idx="1094">
                        <c:v>406</c:v>
                      </c:pt>
                      <c:pt idx="1095">
                        <c:v>405</c:v>
                      </c:pt>
                      <c:pt idx="1096">
                        <c:v>404</c:v>
                      </c:pt>
                      <c:pt idx="1097">
                        <c:v>403</c:v>
                      </c:pt>
                      <c:pt idx="1098">
                        <c:v>402</c:v>
                      </c:pt>
                      <c:pt idx="1099">
                        <c:v>401</c:v>
                      </c:pt>
                      <c:pt idx="1100">
                        <c:v>400</c:v>
                      </c:pt>
                      <c:pt idx="1101">
                        <c:v>399</c:v>
                      </c:pt>
                      <c:pt idx="1102">
                        <c:v>398</c:v>
                      </c:pt>
                      <c:pt idx="1103">
                        <c:v>397</c:v>
                      </c:pt>
                      <c:pt idx="1104">
                        <c:v>396</c:v>
                      </c:pt>
                      <c:pt idx="1105">
                        <c:v>395</c:v>
                      </c:pt>
                      <c:pt idx="1106">
                        <c:v>394</c:v>
                      </c:pt>
                      <c:pt idx="1107">
                        <c:v>393</c:v>
                      </c:pt>
                      <c:pt idx="1108">
                        <c:v>392</c:v>
                      </c:pt>
                      <c:pt idx="1109">
                        <c:v>391</c:v>
                      </c:pt>
                      <c:pt idx="1110">
                        <c:v>390</c:v>
                      </c:pt>
                      <c:pt idx="1111">
                        <c:v>389</c:v>
                      </c:pt>
                      <c:pt idx="1112">
                        <c:v>388</c:v>
                      </c:pt>
                      <c:pt idx="1113">
                        <c:v>387</c:v>
                      </c:pt>
                      <c:pt idx="1114">
                        <c:v>386</c:v>
                      </c:pt>
                      <c:pt idx="1115">
                        <c:v>385</c:v>
                      </c:pt>
                      <c:pt idx="1116">
                        <c:v>384</c:v>
                      </c:pt>
                      <c:pt idx="1117">
                        <c:v>383</c:v>
                      </c:pt>
                      <c:pt idx="1118">
                        <c:v>382</c:v>
                      </c:pt>
                      <c:pt idx="1119">
                        <c:v>381</c:v>
                      </c:pt>
                      <c:pt idx="1120">
                        <c:v>380</c:v>
                      </c:pt>
                      <c:pt idx="1121">
                        <c:v>379</c:v>
                      </c:pt>
                      <c:pt idx="1122">
                        <c:v>378</c:v>
                      </c:pt>
                      <c:pt idx="1123">
                        <c:v>377</c:v>
                      </c:pt>
                      <c:pt idx="1124">
                        <c:v>376</c:v>
                      </c:pt>
                      <c:pt idx="1125">
                        <c:v>375</c:v>
                      </c:pt>
                      <c:pt idx="1126">
                        <c:v>374</c:v>
                      </c:pt>
                      <c:pt idx="1127">
                        <c:v>373</c:v>
                      </c:pt>
                      <c:pt idx="1128">
                        <c:v>372</c:v>
                      </c:pt>
                      <c:pt idx="1129">
                        <c:v>371</c:v>
                      </c:pt>
                      <c:pt idx="1130">
                        <c:v>370</c:v>
                      </c:pt>
                      <c:pt idx="1131">
                        <c:v>369</c:v>
                      </c:pt>
                      <c:pt idx="1132">
                        <c:v>368</c:v>
                      </c:pt>
                      <c:pt idx="1133">
                        <c:v>367</c:v>
                      </c:pt>
                      <c:pt idx="1134">
                        <c:v>366</c:v>
                      </c:pt>
                      <c:pt idx="1135">
                        <c:v>365</c:v>
                      </c:pt>
                      <c:pt idx="1136">
                        <c:v>364</c:v>
                      </c:pt>
                      <c:pt idx="1137">
                        <c:v>363</c:v>
                      </c:pt>
                      <c:pt idx="1138">
                        <c:v>362</c:v>
                      </c:pt>
                      <c:pt idx="1139">
                        <c:v>361</c:v>
                      </c:pt>
                      <c:pt idx="1140">
                        <c:v>360</c:v>
                      </c:pt>
                      <c:pt idx="1141">
                        <c:v>359</c:v>
                      </c:pt>
                      <c:pt idx="1142">
                        <c:v>358</c:v>
                      </c:pt>
                      <c:pt idx="1143">
                        <c:v>357</c:v>
                      </c:pt>
                      <c:pt idx="1144">
                        <c:v>356</c:v>
                      </c:pt>
                      <c:pt idx="1145">
                        <c:v>355</c:v>
                      </c:pt>
                      <c:pt idx="1146">
                        <c:v>354</c:v>
                      </c:pt>
                      <c:pt idx="1147">
                        <c:v>353</c:v>
                      </c:pt>
                      <c:pt idx="1148">
                        <c:v>352</c:v>
                      </c:pt>
                      <c:pt idx="1149">
                        <c:v>351</c:v>
                      </c:pt>
                      <c:pt idx="1150">
                        <c:v>350</c:v>
                      </c:pt>
                      <c:pt idx="1151">
                        <c:v>349</c:v>
                      </c:pt>
                      <c:pt idx="1152">
                        <c:v>348</c:v>
                      </c:pt>
                      <c:pt idx="1153">
                        <c:v>347</c:v>
                      </c:pt>
                      <c:pt idx="1154">
                        <c:v>346</c:v>
                      </c:pt>
                      <c:pt idx="1155">
                        <c:v>345</c:v>
                      </c:pt>
                      <c:pt idx="1156">
                        <c:v>344</c:v>
                      </c:pt>
                      <c:pt idx="1157">
                        <c:v>343</c:v>
                      </c:pt>
                      <c:pt idx="1158">
                        <c:v>342</c:v>
                      </c:pt>
                      <c:pt idx="1159">
                        <c:v>341</c:v>
                      </c:pt>
                      <c:pt idx="1160">
                        <c:v>340</c:v>
                      </c:pt>
                      <c:pt idx="1161">
                        <c:v>339</c:v>
                      </c:pt>
                      <c:pt idx="1162">
                        <c:v>338</c:v>
                      </c:pt>
                      <c:pt idx="1163">
                        <c:v>337</c:v>
                      </c:pt>
                      <c:pt idx="1164">
                        <c:v>336</c:v>
                      </c:pt>
                      <c:pt idx="1165">
                        <c:v>335</c:v>
                      </c:pt>
                      <c:pt idx="1166">
                        <c:v>334</c:v>
                      </c:pt>
                      <c:pt idx="1167">
                        <c:v>333</c:v>
                      </c:pt>
                      <c:pt idx="1168">
                        <c:v>332</c:v>
                      </c:pt>
                      <c:pt idx="1169">
                        <c:v>331</c:v>
                      </c:pt>
                      <c:pt idx="1170">
                        <c:v>330</c:v>
                      </c:pt>
                      <c:pt idx="1171">
                        <c:v>329</c:v>
                      </c:pt>
                      <c:pt idx="1172">
                        <c:v>328</c:v>
                      </c:pt>
                      <c:pt idx="1173">
                        <c:v>327</c:v>
                      </c:pt>
                      <c:pt idx="1174">
                        <c:v>326</c:v>
                      </c:pt>
                      <c:pt idx="1175">
                        <c:v>325</c:v>
                      </c:pt>
                      <c:pt idx="1176">
                        <c:v>324</c:v>
                      </c:pt>
                      <c:pt idx="1177">
                        <c:v>323</c:v>
                      </c:pt>
                      <c:pt idx="1178">
                        <c:v>322</c:v>
                      </c:pt>
                      <c:pt idx="1179">
                        <c:v>321</c:v>
                      </c:pt>
                      <c:pt idx="1180">
                        <c:v>320</c:v>
                      </c:pt>
                      <c:pt idx="1181">
                        <c:v>319</c:v>
                      </c:pt>
                      <c:pt idx="1182">
                        <c:v>318</c:v>
                      </c:pt>
                      <c:pt idx="1183">
                        <c:v>317</c:v>
                      </c:pt>
                      <c:pt idx="1184">
                        <c:v>316</c:v>
                      </c:pt>
                      <c:pt idx="1185">
                        <c:v>315</c:v>
                      </c:pt>
                      <c:pt idx="1186">
                        <c:v>314</c:v>
                      </c:pt>
                      <c:pt idx="1187">
                        <c:v>313</c:v>
                      </c:pt>
                      <c:pt idx="1188">
                        <c:v>312</c:v>
                      </c:pt>
                      <c:pt idx="1189">
                        <c:v>311</c:v>
                      </c:pt>
                      <c:pt idx="1190">
                        <c:v>310</c:v>
                      </c:pt>
                      <c:pt idx="1191">
                        <c:v>309</c:v>
                      </c:pt>
                      <c:pt idx="1192">
                        <c:v>308</c:v>
                      </c:pt>
                      <c:pt idx="1193">
                        <c:v>307</c:v>
                      </c:pt>
                      <c:pt idx="1194">
                        <c:v>306</c:v>
                      </c:pt>
                      <c:pt idx="1195">
                        <c:v>305</c:v>
                      </c:pt>
                      <c:pt idx="1196">
                        <c:v>304</c:v>
                      </c:pt>
                      <c:pt idx="1197">
                        <c:v>303</c:v>
                      </c:pt>
                      <c:pt idx="1198">
                        <c:v>302</c:v>
                      </c:pt>
                      <c:pt idx="1199">
                        <c:v>301</c:v>
                      </c:pt>
                      <c:pt idx="1200">
                        <c:v>300</c:v>
                      </c:pt>
                      <c:pt idx="1201">
                        <c:v>299</c:v>
                      </c:pt>
                      <c:pt idx="1202">
                        <c:v>298</c:v>
                      </c:pt>
                      <c:pt idx="1203">
                        <c:v>297</c:v>
                      </c:pt>
                      <c:pt idx="1204">
                        <c:v>296</c:v>
                      </c:pt>
                      <c:pt idx="1205">
                        <c:v>295</c:v>
                      </c:pt>
                      <c:pt idx="1206">
                        <c:v>294</c:v>
                      </c:pt>
                      <c:pt idx="1207">
                        <c:v>293</c:v>
                      </c:pt>
                      <c:pt idx="1208">
                        <c:v>292</c:v>
                      </c:pt>
                      <c:pt idx="1209">
                        <c:v>291</c:v>
                      </c:pt>
                      <c:pt idx="1210">
                        <c:v>290</c:v>
                      </c:pt>
                      <c:pt idx="1211">
                        <c:v>289</c:v>
                      </c:pt>
                      <c:pt idx="1212">
                        <c:v>288</c:v>
                      </c:pt>
                      <c:pt idx="1213">
                        <c:v>287</c:v>
                      </c:pt>
                      <c:pt idx="1214">
                        <c:v>286</c:v>
                      </c:pt>
                      <c:pt idx="1215">
                        <c:v>285</c:v>
                      </c:pt>
                      <c:pt idx="1216">
                        <c:v>284</c:v>
                      </c:pt>
                      <c:pt idx="1217">
                        <c:v>283</c:v>
                      </c:pt>
                      <c:pt idx="1218">
                        <c:v>282</c:v>
                      </c:pt>
                      <c:pt idx="1219">
                        <c:v>281</c:v>
                      </c:pt>
                      <c:pt idx="1220">
                        <c:v>280</c:v>
                      </c:pt>
                      <c:pt idx="1221">
                        <c:v>279</c:v>
                      </c:pt>
                      <c:pt idx="1222">
                        <c:v>278</c:v>
                      </c:pt>
                      <c:pt idx="1223">
                        <c:v>277</c:v>
                      </c:pt>
                      <c:pt idx="1224">
                        <c:v>276</c:v>
                      </c:pt>
                      <c:pt idx="1225">
                        <c:v>275</c:v>
                      </c:pt>
                      <c:pt idx="1226">
                        <c:v>274</c:v>
                      </c:pt>
                      <c:pt idx="1227">
                        <c:v>273</c:v>
                      </c:pt>
                      <c:pt idx="1228">
                        <c:v>272</c:v>
                      </c:pt>
                      <c:pt idx="1229">
                        <c:v>271</c:v>
                      </c:pt>
                      <c:pt idx="1230">
                        <c:v>270</c:v>
                      </c:pt>
                      <c:pt idx="1231">
                        <c:v>269</c:v>
                      </c:pt>
                      <c:pt idx="1232">
                        <c:v>268</c:v>
                      </c:pt>
                      <c:pt idx="1233">
                        <c:v>267</c:v>
                      </c:pt>
                      <c:pt idx="1234">
                        <c:v>266</c:v>
                      </c:pt>
                      <c:pt idx="1235">
                        <c:v>265</c:v>
                      </c:pt>
                      <c:pt idx="1236">
                        <c:v>264</c:v>
                      </c:pt>
                      <c:pt idx="1237">
                        <c:v>263</c:v>
                      </c:pt>
                      <c:pt idx="1238">
                        <c:v>262</c:v>
                      </c:pt>
                      <c:pt idx="1239">
                        <c:v>261</c:v>
                      </c:pt>
                      <c:pt idx="1240">
                        <c:v>260</c:v>
                      </c:pt>
                      <c:pt idx="1241">
                        <c:v>259</c:v>
                      </c:pt>
                      <c:pt idx="1242">
                        <c:v>258</c:v>
                      </c:pt>
                      <c:pt idx="1243">
                        <c:v>257</c:v>
                      </c:pt>
                      <c:pt idx="1244">
                        <c:v>256</c:v>
                      </c:pt>
                      <c:pt idx="1245">
                        <c:v>255</c:v>
                      </c:pt>
                      <c:pt idx="1246">
                        <c:v>254</c:v>
                      </c:pt>
                      <c:pt idx="1247">
                        <c:v>253</c:v>
                      </c:pt>
                      <c:pt idx="1248">
                        <c:v>252</c:v>
                      </c:pt>
                      <c:pt idx="1249">
                        <c:v>251</c:v>
                      </c:pt>
                      <c:pt idx="1250">
                        <c:v>250</c:v>
                      </c:pt>
                      <c:pt idx="1251">
                        <c:v>249</c:v>
                      </c:pt>
                      <c:pt idx="1252">
                        <c:v>248</c:v>
                      </c:pt>
                      <c:pt idx="1253">
                        <c:v>247</c:v>
                      </c:pt>
                      <c:pt idx="1254">
                        <c:v>246</c:v>
                      </c:pt>
                      <c:pt idx="1255">
                        <c:v>245</c:v>
                      </c:pt>
                      <c:pt idx="1256">
                        <c:v>244</c:v>
                      </c:pt>
                      <c:pt idx="1257">
                        <c:v>243</c:v>
                      </c:pt>
                      <c:pt idx="1258">
                        <c:v>242</c:v>
                      </c:pt>
                      <c:pt idx="1259">
                        <c:v>241</c:v>
                      </c:pt>
                      <c:pt idx="1260">
                        <c:v>240</c:v>
                      </c:pt>
                      <c:pt idx="1261">
                        <c:v>239</c:v>
                      </c:pt>
                      <c:pt idx="1262">
                        <c:v>238</c:v>
                      </c:pt>
                      <c:pt idx="1263">
                        <c:v>237</c:v>
                      </c:pt>
                      <c:pt idx="1264">
                        <c:v>236</c:v>
                      </c:pt>
                      <c:pt idx="1265">
                        <c:v>235</c:v>
                      </c:pt>
                      <c:pt idx="1266">
                        <c:v>234</c:v>
                      </c:pt>
                      <c:pt idx="1267">
                        <c:v>233</c:v>
                      </c:pt>
                      <c:pt idx="1268">
                        <c:v>232</c:v>
                      </c:pt>
                      <c:pt idx="1269">
                        <c:v>231</c:v>
                      </c:pt>
                      <c:pt idx="1270">
                        <c:v>230</c:v>
                      </c:pt>
                      <c:pt idx="1271">
                        <c:v>229</c:v>
                      </c:pt>
                      <c:pt idx="1272">
                        <c:v>228</c:v>
                      </c:pt>
                      <c:pt idx="1273">
                        <c:v>227</c:v>
                      </c:pt>
                      <c:pt idx="1274">
                        <c:v>226</c:v>
                      </c:pt>
                      <c:pt idx="1275">
                        <c:v>225</c:v>
                      </c:pt>
                      <c:pt idx="1276">
                        <c:v>224</c:v>
                      </c:pt>
                      <c:pt idx="1277">
                        <c:v>223</c:v>
                      </c:pt>
                      <c:pt idx="1278">
                        <c:v>222</c:v>
                      </c:pt>
                      <c:pt idx="1279">
                        <c:v>221</c:v>
                      </c:pt>
                      <c:pt idx="1280">
                        <c:v>220</c:v>
                      </c:pt>
                      <c:pt idx="1281">
                        <c:v>219</c:v>
                      </c:pt>
                      <c:pt idx="1282">
                        <c:v>218</c:v>
                      </c:pt>
                      <c:pt idx="1283">
                        <c:v>217</c:v>
                      </c:pt>
                      <c:pt idx="1284">
                        <c:v>216</c:v>
                      </c:pt>
                      <c:pt idx="1285">
                        <c:v>215</c:v>
                      </c:pt>
                      <c:pt idx="1286">
                        <c:v>214</c:v>
                      </c:pt>
                      <c:pt idx="1287">
                        <c:v>213</c:v>
                      </c:pt>
                      <c:pt idx="1288">
                        <c:v>212</c:v>
                      </c:pt>
                      <c:pt idx="1289">
                        <c:v>211</c:v>
                      </c:pt>
                      <c:pt idx="1290">
                        <c:v>210</c:v>
                      </c:pt>
                      <c:pt idx="1291">
                        <c:v>209</c:v>
                      </c:pt>
                      <c:pt idx="1292">
                        <c:v>208</c:v>
                      </c:pt>
                      <c:pt idx="1293">
                        <c:v>207</c:v>
                      </c:pt>
                      <c:pt idx="1294">
                        <c:v>206</c:v>
                      </c:pt>
                      <c:pt idx="1295">
                        <c:v>205</c:v>
                      </c:pt>
                      <c:pt idx="1296">
                        <c:v>204</c:v>
                      </c:pt>
                      <c:pt idx="1297">
                        <c:v>203</c:v>
                      </c:pt>
                      <c:pt idx="1298">
                        <c:v>202</c:v>
                      </c:pt>
                      <c:pt idx="1299">
                        <c:v>201</c:v>
                      </c:pt>
                      <c:pt idx="1300">
                        <c:v>200</c:v>
                      </c:pt>
                      <c:pt idx="1301">
                        <c:v>199</c:v>
                      </c:pt>
                      <c:pt idx="1302">
                        <c:v>198</c:v>
                      </c:pt>
                      <c:pt idx="1303">
                        <c:v>197</c:v>
                      </c:pt>
                      <c:pt idx="1304">
                        <c:v>196</c:v>
                      </c:pt>
                      <c:pt idx="1305">
                        <c:v>195</c:v>
                      </c:pt>
                      <c:pt idx="1306">
                        <c:v>194</c:v>
                      </c:pt>
                      <c:pt idx="1307">
                        <c:v>193</c:v>
                      </c:pt>
                      <c:pt idx="1308">
                        <c:v>192</c:v>
                      </c:pt>
                      <c:pt idx="1309">
                        <c:v>191</c:v>
                      </c:pt>
                      <c:pt idx="1310">
                        <c:v>190</c:v>
                      </c:pt>
                      <c:pt idx="1311">
                        <c:v>189</c:v>
                      </c:pt>
                      <c:pt idx="1312">
                        <c:v>188</c:v>
                      </c:pt>
                      <c:pt idx="1313">
                        <c:v>187</c:v>
                      </c:pt>
                      <c:pt idx="1314">
                        <c:v>186</c:v>
                      </c:pt>
                      <c:pt idx="1315">
                        <c:v>185</c:v>
                      </c:pt>
                      <c:pt idx="1316">
                        <c:v>184</c:v>
                      </c:pt>
                      <c:pt idx="1317">
                        <c:v>183</c:v>
                      </c:pt>
                      <c:pt idx="1318">
                        <c:v>182</c:v>
                      </c:pt>
                      <c:pt idx="1319">
                        <c:v>181</c:v>
                      </c:pt>
                      <c:pt idx="1320">
                        <c:v>180</c:v>
                      </c:pt>
                      <c:pt idx="1321">
                        <c:v>179</c:v>
                      </c:pt>
                      <c:pt idx="1322">
                        <c:v>178</c:v>
                      </c:pt>
                      <c:pt idx="1323">
                        <c:v>177</c:v>
                      </c:pt>
                      <c:pt idx="1324">
                        <c:v>176</c:v>
                      </c:pt>
                      <c:pt idx="1325">
                        <c:v>175</c:v>
                      </c:pt>
                      <c:pt idx="1326">
                        <c:v>174</c:v>
                      </c:pt>
                      <c:pt idx="1327">
                        <c:v>173</c:v>
                      </c:pt>
                      <c:pt idx="1328">
                        <c:v>172</c:v>
                      </c:pt>
                      <c:pt idx="1329">
                        <c:v>171</c:v>
                      </c:pt>
                      <c:pt idx="1330">
                        <c:v>170</c:v>
                      </c:pt>
                      <c:pt idx="1331">
                        <c:v>169</c:v>
                      </c:pt>
                      <c:pt idx="1332">
                        <c:v>168</c:v>
                      </c:pt>
                      <c:pt idx="1333">
                        <c:v>167</c:v>
                      </c:pt>
                      <c:pt idx="1334">
                        <c:v>166</c:v>
                      </c:pt>
                      <c:pt idx="1335">
                        <c:v>165</c:v>
                      </c:pt>
                      <c:pt idx="1336">
                        <c:v>164</c:v>
                      </c:pt>
                      <c:pt idx="1337">
                        <c:v>163</c:v>
                      </c:pt>
                      <c:pt idx="1338">
                        <c:v>162</c:v>
                      </c:pt>
                      <c:pt idx="1339">
                        <c:v>161</c:v>
                      </c:pt>
                      <c:pt idx="1340">
                        <c:v>160</c:v>
                      </c:pt>
                      <c:pt idx="1341">
                        <c:v>159</c:v>
                      </c:pt>
                      <c:pt idx="1342">
                        <c:v>158</c:v>
                      </c:pt>
                      <c:pt idx="1343">
                        <c:v>157</c:v>
                      </c:pt>
                      <c:pt idx="1344">
                        <c:v>156</c:v>
                      </c:pt>
                      <c:pt idx="1345">
                        <c:v>155</c:v>
                      </c:pt>
                      <c:pt idx="1346">
                        <c:v>154</c:v>
                      </c:pt>
                      <c:pt idx="1347">
                        <c:v>153</c:v>
                      </c:pt>
                      <c:pt idx="1348">
                        <c:v>152</c:v>
                      </c:pt>
                      <c:pt idx="1349">
                        <c:v>151</c:v>
                      </c:pt>
                      <c:pt idx="1350">
                        <c:v>150</c:v>
                      </c:pt>
                      <c:pt idx="1351">
                        <c:v>149</c:v>
                      </c:pt>
                      <c:pt idx="1352">
                        <c:v>148</c:v>
                      </c:pt>
                      <c:pt idx="1353">
                        <c:v>147</c:v>
                      </c:pt>
                      <c:pt idx="1354">
                        <c:v>146</c:v>
                      </c:pt>
                      <c:pt idx="1355">
                        <c:v>145</c:v>
                      </c:pt>
                      <c:pt idx="1356">
                        <c:v>144</c:v>
                      </c:pt>
                      <c:pt idx="1357">
                        <c:v>143</c:v>
                      </c:pt>
                      <c:pt idx="1358">
                        <c:v>142</c:v>
                      </c:pt>
                      <c:pt idx="1359">
                        <c:v>141</c:v>
                      </c:pt>
                      <c:pt idx="1360">
                        <c:v>140</c:v>
                      </c:pt>
                      <c:pt idx="1361">
                        <c:v>139</c:v>
                      </c:pt>
                      <c:pt idx="1362">
                        <c:v>138</c:v>
                      </c:pt>
                      <c:pt idx="1363">
                        <c:v>137</c:v>
                      </c:pt>
                      <c:pt idx="1364">
                        <c:v>136</c:v>
                      </c:pt>
                      <c:pt idx="1365">
                        <c:v>135</c:v>
                      </c:pt>
                      <c:pt idx="1366">
                        <c:v>134</c:v>
                      </c:pt>
                      <c:pt idx="1367">
                        <c:v>133</c:v>
                      </c:pt>
                      <c:pt idx="1368">
                        <c:v>132</c:v>
                      </c:pt>
                      <c:pt idx="1369">
                        <c:v>131</c:v>
                      </c:pt>
                      <c:pt idx="1370">
                        <c:v>130</c:v>
                      </c:pt>
                      <c:pt idx="1371">
                        <c:v>129</c:v>
                      </c:pt>
                      <c:pt idx="1372">
                        <c:v>128</c:v>
                      </c:pt>
                      <c:pt idx="1373">
                        <c:v>127</c:v>
                      </c:pt>
                      <c:pt idx="1374">
                        <c:v>126</c:v>
                      </c:pt>
                      <c:pt idx="1375">
                        <c:v>125</c:v>
                      </c:pt>
                      <c:pt idx="1376">
                        <c:v>124</c:v>
                      </c:pt>
                      <c:pt idx="1377">
                        <c:v>123</c:v>
                      </c:pt>
                      <c:pt idx="1378">
                        <c:v>122</c:v>
                      </c:pt>
                      <c:pt idx="1379">
                        <c:v>121</c:v>
                      </c:pt>
                      <c:pt idx="1380">
                        <c:v>120</c:v>
                      </c:pt>
                      <c:pt idx="1381">
                        <c:v>119</c:v>
                      </c:pt>
                      <c:pt idx="1382">
                        <c:v>118</c:v>
                      </c:pt>
                      <c:pt idx="1383">
                        <c:v>117</c:v>
                      </c:pt>
                      <c:pt idx="1384">
                        <c:v>116</c:v>
                      </c:pt>
                      <c:pt idx="1385">
                        <c:v>115</c:v>
                      </c:pt>
                      <c:pt idx="1386">
                        <c:v>114</c:v>
                      </c:pt>
                      <c:pt idx="1387">
                        <c:v>113</c:v>
                      </c:pt>
                      <c:pt idx="1388">
                        <c:v>112</c:v>
                      </c:pt>
                      <c:pt idx="1389">
                        <c:v>111</c:v>
                      </c:pt>
                      <c:pt idx="1390">
                        <c:v>110</c:v>
                      </c:pt>
                      <c:pt idx="1391">
                        <c:v>109</c:v>
                      </c:pt>
                      <c:pt idx="1392">
                        <c:v>108</c:v>
                      </c:pt>
                      <c:pt idx="1393">
                        <c:v>107</c:v>
                      </c:pt>
                      <c:pt idx="1394">
                        <c:v>106</c:v>
                      </c:pt>
                      <c:pt idx="1395">
                        <c:v>105</c:v>
                      </c:pt>
                      <c:pt idx="1396">
                        <c:v>104</c:v>
                      </c:pt>
                      <c:pt idx="1397">
                        <c:v>103</c:v>
                      </c:pt>
                      <c:pt idx="1398">
                        <c:v>102</c:v>
                      </c:pt>
                      <c:pt idx="1399">
                        <c:v>101</c:v>
                      </c:pt>
                      <c:pt idx="1400">
                        <c:v>100</c:v>
                      </c:pt>
                      <c:pt idx="1401">
                        <c:v>99</c:v>
                      </c:pt>
                      <c:pt idx="1402">
                        <c:v>98</c:v>
                      </c:pt>
                      <c:pt idx="1403">
                        <c:v>97</c:v>
                      </c:pt>
                      <c:pt idx="1404">
                        <c:v>96</c:v>
                      </c:pt>
                      <c:pt idx="1405">
                        <c:v>95</c:v>
                      </c:pt>
                      <c:pt idx="1406">
                        <c:v>94</c:v>
                      </c:pt>
                      <c:pt idx="1407">
                        <c:v>93</c:v>
                      </c:pt>
                      <c:pt idx="1408">
                        <c:v>92</c:v>
                      </c:pt>
                      <c:pt idx="1409">
                        <c:v>91</c:v>
                      </c:pt>
                      <c:pt idx="1410">
                        <c:v>90</c:v>
                      </c:pt>
                      <c:pt idx="1411">
                        <c:v>89</c:v>
                      </c:pt>
                      <c:pt idx="1412">
                        <c:v>88</c:v>
                      </c:pt>
                      <c:pt idx="1413">
                        <c:v>87</c:v>
                      </c:pt>
                      <c:pt idx="1414">
                        <c:v>86</c:v>
                      </c:pt>
                      <c:pt idx="1415">
                        <c:v>85</c:v>
                      </c:pt>
                      <c:pt idx="1416">
                        <c:v>84</c:v>
                      </c:pt>
                      <c:pt idx="1417">
                        <c:v>83</c:v>
                      </c:pt>
                      <c:pt idx="1418">
                        <c:v>82</c:v>
                      </c:pt>
                      <c:pt idx="1419">
                        <c:v>81</c:v>
                      </c:pt>
                      <c:pt idx="1420">
                        <c:v>80</c:v>
                      </c:pt>
                      <c:pt idx="1421">
                        <c:v>79</c:v>
                      </c:pt>
                      <c:pt idx="1422">
                        <c:v>78</c:v>
                      </c:pt>
                      <c:pt idx="1423">
                        <c:v>77</c:v>
                      </c:pt>
                      <c:pt idx="1424">
                        <c:v>76</c:v>
                      </c:pt>
                      <c:pt idx="1425">
                        <c:v>75</c:v>
                      </c:pt>
                      <c:pt idx="1426">
                        <c:v>74</c:v>
                      </c:pt>
                      <c:pt idx="1427">
                        <c:v>73</c:v>
                      </c:pt>
                      <c:pt idx="1428">
                        <c:v>72</c:v>
                      </c:pt>
                      <c:pt idx="1429">
                        <c:v>71</c:v>
                      </c:pt>
                      <c:pt idx="1430">
                        <c:v>70</c:v>
                      </c:pt>
                      <c:pt idx="1431">
                        <c:v>69</c:v>
                      </c:pt>
                      <c:pt idx="1432">
                        <c:v>68</c:v>
                      </c:pt>
                      <c:pt idx="1433">
                        <c:v>67</c:v>
                      </c:pt>
                      <c:pt idx="1434">
                        <c:v>66</c:v>
                      </c:pt>
                      <c:pt idx="1435">
                        <c:v>65</c:v>
                      </c:pt>
                      <c:pt idx="1436">
                        <c:v>64</c:v>
                      </c:pt>
                      <c:pt idx="1437">
                        <c:v>63</c:v>
                      </c:pt>
                      <c:pt idx="1438">
                        <c:v>62</c:v>
                      </c:pt>
                      <c:pt idx="1439">
                        <c:v>61</c:v>
                      </c:pt>
                      <c:pt idx="1440">
                        <c:v>60</c:v>
                      </c:pt>
                      <c:pt idx="1441">
                        <c:v>59</c:v>
                      </c:pt>
                      <c:pt idx="1442">
                        <c:v>58</c:v>
                      </c:pt>
                      <c:pt idx="1443">
                        <c:v>57</c:v>
                      </c:pt>
                      <c:pt idx="1444">
                        <c:v>56</c:v>
                      </c:pt>
                      <c:pt idx="1445">
                        <c:v>55</c:v>
                      </c:pt>
                      <c:pt idx="1446">
                        <c:v>54</c:v>
                      </c:pt>
                      <c:pt idx="1447">
                        <c:v>53</c:v>
                      </c:pt>
                      <c:pt idx="1448">
                        <c:v>52</c:v>
                      </c:pt>
                      <c:pt idx="1449">
                        <c:v>51</c:v>
                      </c:pt>
                      <c:pt idx="1450">
                        <c:v>50</c:v>
                      </c:pt>
                      <c:pt idx="1451">
                        <c:v>49</c:v>
                      </c:pt>
                      <c:pt idx="1452">
                        <c:v>48</c:v>
                      </c:pt>
                      <c:pt idx="1453">
                        <c:v>47</c:v>
                      </c:pt>
                      <c:pt idx="1454">
                        <c:v>46</c:v>
                      </c:pt>
                      <c:pt idx="1455">
                        <c:v>45</c:v>
                      </c:pt>
                      <c:pt idx="1456">
                        <c:v>44</c:v>
                      </c:pt>
                      <c:pt idx="1457">
                        <c:v>43</c:v>
                      </c:pt>
                      <c:pt idx="1458">
                        <c:v>42</c:v>
                      </c:pt>
                      <c:pt idx="1459">
                        <c:v>41</c:v>
                      </c:pt>
                      <c:pt idx="1460">
                        <c:v>40</c:v>
                      </c:pt>
                      <c:pt idx="1461">
                        <c:v>39</c:v>
                      </c:pt>
                      <c:pt idx="1462">
                        <c:v>38</c:v>
                      </c:pt>
                      <c:pt idx="1463">
                        <c:v>37</c:v>
                      </c:pt>
                      <c:pt idx="1464">
                        <c:v>36</c:v>
                      </c:pt>
                      <c:pt idx="1465">
                        <c:v>35</c:v>
                      </c:pt>
                      <c:pt idx="1466">
                        <c:v>34</c:v>
                      </c:pt>
                      <c:pt idx="1467">
                        <c:v>33</c:v>
                      </c:pt>
                      <c:pt idx="1468">
                        <c:v>32</c:v>
                      </c:pt>
                      <c:pt idx="1469">
                        <c:v>31</c:v>
                      </c:pt>
                      <c:pt idx="1470">
                        <c:v>30</c:v>
                      </c:pt>
                      <c:pt idx="1471">
                        <c:v>29</c:v>
                      </c:pt>
                      <c:pt idx="1472">
                        <c:v>28</c:v>
                      </c:pt>
                      <c:pt idx="1473">
                        <c:v>27</c:v>
                      </c:pt>
                      <c:pt idx="1474">
                        <c:v>26</c:v>
                      </c:pt>
                      <c:pt idx="1475">
                        <c:v>25</c:v>
                      </c:pt>
                      <c:pt idx="1476">
                        <c:v>24</c:v>
                      </c:pt>
                      <c:pt idx="1477">
                        <c:v>23</c:v>
                      </c:pt>
                      <c:pt idx="1478">
                        <c:v>22</c:v>
                      </c:pt>
                      <c:pt idx="1479">
                        <c:v>21</c:v>
                      </c:pt>
                      <c:pt idx="1480">
                        <c:v>20</c:v>
                      </c:pt>
                      <c:pt idx="1481">
                        <c:v>19</c:v>
                      </c:pt>
                      <c:pt idx="1482">
                        <c:v>18</c:v>
                      </c:pt>
                      <c:pt idx="1483">
                        <c:v>17</c:v>
                      </c:pt>
                      <c:pt idx="1484">
                        <c:v>16</c:v>
                      </c:pt>
                      <c:pt idx="1485">
                        <c:v>15</c:v>
                      </c:pt>
                      <c:pt idx="1486">
                        <c:v>14</c:v>
                      </c:pt>
                      <c:pt idx="1487">
                        <c:v>13</c:v>
                      </c:pt>
                      <c:pt idx="1488">
                        <c:v>12</c:v>
                      </c:pt>
                      <c:pt idx="1489">
                        <c:v>11</c:v>
                      </c:pt>
                      <c:pt idx="1490">
                        <c:v>10</c:v>
                      </c:pt>
                      <c:pt idx="1491">
                        <c:v>9</c:v>
                      </c:pt>
                      <c:pt idx="1492">
                        <c:v>8</c:v>
                      </c:pt>
                      <c:pt idx="1493">
                        <c:v>7</c:v>
                      </c:pt>
                      <c:pt idx="1494">
                        <c:v>6</c:v>
                      </c:pt>
                      <c:pt idx="1495">
                        <c:v>5</c:v>
                      </c:pt>
                      <c:pt idx="1496">
                        <c:v>4</c:v>
                      </c:pt>
                      <c:pt idx="1497">
                        <c:v>3</c:v>
                      </c:pt>
                      <c:pt idx="1498">
                        <c:v>2</c:v>
                      </c:pt>
                      <c:pt idx="1499">
                        <c:v>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Sheet1!$T$9:$T$1508</c15:sqref>
                        </c15:formulaRef>
                      </c:ext>
                    </c:extLst>
                    <c:numCache>
                      <c:formatCode>General</c:formatCode>
                      <c:ptCount val="150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908-4CEA-86FD-584A3967D90F}"/>
                  </c:ext>
                </c:extLst>
              </c15:ser>
            </c15:filteredLineSeries>
          </c:ext>
        </c:extLst>
      </c:lineChart>
      <c:catAx>
        <c:axId val="142151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515103"/>
        <c:crosses val="autoZero"/>
        <c:auto val="1"/>
        <c:lblAlgn val="ctr"/>
        <c:lblOffset val="100"/>
        <c:noMultiLvlLbl val="0"/>
      </c:catAx>
      <c:valAx>
        <c:axId val="142151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51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16</xdr:row>
      <xdr:rowOff>0</xdr:rowOff>
    </xdr:from>
    <xdr:to>
      <xdr:col>21</xdr:col>
      <xdr:colOff>208359</xdr:colOff>
      <xdr:row>36</xdr:row>
      <xdr:rowOff>127396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242860-5557-4A21-BD34-E8AD8942A8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93B65-4EC5-4C2C-A391-D4A0DFA3817D}">
  <dimension ref="B2:W1509"/>
  <sheetViews>
    <sheetView showGridLines="0" tabSelected="1" zoomScale="80" zoomScaleNormal="80" workbookViewId="0">
      <selection activeCell="D12" sqref="D12"/>
    </sheetView>
  </sheetViews>
  <sheetFormatPr defaultRowHeight="15" x14ac:dyDescent="0.25"/>
  <cols>
    <col min="2" max="2" width="22.28515625" customWidth="1"/>
    <col min="3" max="3" width="24.42578125" customWidth="1"/>
    <col min="4" max="4" width="28.85546875" customWidth="1"/>
    <col min="5" max="5" width="24.5703125" customWidth="1"/>
    <col min="15" max="15" width="15" bestFit="1" customWidth="1"/>
    <col min="17" max="17" width="12.28515625" bestFit="1" customWidth="1"/>
    <col min="19" max="19" width="13" bestFit="1" customWidth="1"/>
    <col min="21" max="21" width="10.85546875" bestFit="1" customWidth="1"/>
    <col min="22" max="22" width="10.85546875" customWidth="1"/>
    <col min="23" max="23" width="12.42578125" bestFit="1" customWidth="1"/>
  </cols>
  <sheetData>
    <row r="2" spans="2:23" x14ac:dyDescent="0.25">
      <c r="B2" s="9" t="s">
        <v>0</v>
      </c>
      <c r="C2" s="9"/>
      <c r="D2" s="9"/>
      <c r="E2" s="9"/>
      <c r="F2" s="9"/>
      <c r="G2" s="9"/>
      <c r="H2" s="9"/>
      <c r="I2" s="9"/>
      <c r="J2" s="9"/>
      <c r="K2" s="9"/>
      <c r="O2" s="9" t="s">
        <v>17</v>
      </c>
      <c r="P2" s="9"/>
      <c r="Q2" s="9"/>
      <c r="R2" s="9"/>
      <c r="S2" s="9"/>
      <c r="T2" s="9"/>
      <c r="U2" s="9"/>
      <c r="V2" s="2"/>
    </row>
    <row r="4" spans="2:23" x14ac:dyDescent="0.25">
      <c r="B4" s="5" t="s">
        <v>1</v>
      </c>
      <c r="C4" s="5"/>
      <c r="D4" s="7" t="s">
        <v>2</v>
      </c>
      <c r="O4" s="5" t="s">
        <v>1</v>
      </c>
      <c r="P4" s="16"/>
      <c r="Q4" s="5" t="s">
        <v>16</v>
      </c>
      <c r="R4" s="5"/>
      <c r="S4" s="5" t="s">
        <v>21</v>
      </c>
      <c r="T4" s="5"/>
      <c r="U4" s="5" t="s">
        <v>22</v>
      </c>
      <c r="V4" s="5"/>
      <c r="W4" s="5" t="s">
        <v>23</v>
      </c>
    </row>
    <row r="5" spans="2:23" x14ac:dyDescent="0.25">
      <c r="B5" t="s">
        <v>3</v>
      </c>
      <c r="D5">
        <v>500</v>
      </c>
      <c r="O5" t="s">
        <v>20</v>
      </c>
      <c r="Q5" s="17">
        <f>SUM(Q9:Q1509)</f>
        <v>0.9999990668787585</v>
      </c>
      <c r="R5" s="15"/>
      <c r="S5" s="15">
        <f t="shared" ref="S5:U5" si="0">SUM(S9:S1509)</f>
        <v>425.62396836300604</v>
      </c>
      <c r="T5" s="15"/>
      <c r="U5" s="15">
        <f t="shared" si="0"/>
        <v>330.22910277818715</v>
      </c>
      <c r="V5" s="15"/>
      <c r="W5" s="18">
        <f>SUM(W9:W1508)</f>
        <v>89.839501093818981</v>
      </c>
    </row>
    <row r="6" spans="2:23" x14ac:dyDescent="0.25">
      <c r="B6" t="s">
        <v>4</v>
      </c>
      <c r="D6">
        <v>450</v>
      </c>
    </row>
    <row r="7" spans="2:23" x14ac:dyDescent="0.25">
      <c r="B7" t="s">
        <v>5</v>
      </c>
      <c r="D7">
        <v>1</v>
      </c>
    </row>
    <row r="8" spans="2:23" x14ac:dyDescent="0.25">
      <c r="B8" t="s">
        <v>6</v>
      </c>
      <c r="D8" s="3">
        <v>0.22314999999999999</v>
      </c>
      <c r="O8" s="5" t="s">
        <v>15</v>
      </c>
      <c r="P8" s="5"/>
      <c r="Q8" s="5" t="s">
        <v>16</v>
      </c>
      <c r="R8" s="5"/>
      <c r="S8" s="5" t="s">
        <v>21</v>
      </c>
      <c r="T8" s="5"/>
      <c r="U8" s="5" t="s">
        <v>22</v>
      </c>
      <c r="V8" s="5"/>
      <c r="W8" s="5" t="s">
        <v>23</v>
      </c>
    </row>
    <row r="9" spans="2:23" x14ac:dyDescent="0.25">
      <c r="B9" t="s">
        <v>7</v>
      </c>
      <c r="D9" s="4">
        <v>0.06</v>
      </c>
      <c r="O9" s="1">
        <v>1500</v>
      </c>
      <c r="Q9" s="12">
        <f>_xlfn.LOGNORM.DIST(O9,$D$25,$D$26,FALSE)</f>
        <v>1.3931100070985741E-8</v>
      </c>
      <c r="S9" s="13">
        <f>IF(O9&gt;$D$6,O9*Q9,0)</f>
        <v>2.089665010647861E-5</v>
      </c>
      <c r="T9" s="12"/>
      <c r="U9" s="13">
        <f>IF(O9&gt;$D$6,$D$6*Q9,0)</f>
        <v>6.2689950319435836E-6</v>
      </c>
      <c r="V9" s="12"/>
      <c r="W9" s="13">
        <f>(S9-U9)*EXP(-$D$9*$D$7)</f>
        <v>1.3775806758700747E-5</v>
      </c>
    </row>
    <row r="10" spans="2:23" x14ac:dyDescent="0.25">
      <c r="O10" s="1">
        <f>O9-1</f>
        <v>1499</v>
      </c>
      <c r="Q10" s="12">
        <f t="shared" ref="Q10:Q73" si="1">_xlfn.LOGNORM.DIST(O10,$D$25,$D$26,FALSE)</f>
        <v>1.4140304266448668E-8</v>
      </c>
      <c r="S10" s="13">
        <f t="shared" ref="S10:S73" si="2">IF(O10&gt;$D$6,O10*Q10,0)</f>
        <v>2.1196316095406555E-5</v>
      </c>
      <c r="U10" s="13">
        <f t="shared" ref="U10:U73" si="3">IF(O10&gt;$D$6,$D$6*Q10,0)</f>
        <v>6.3631369199019011E-6</v>
      </c>
      <c r="V10" s="12"/>
      <c r="W10" s="13">
        <f t="shared" ref="W10:W73" si="4">(S10-U10)*EXP(-$D$9*$D$7)</f>
        <v>1.3969362067790732E-5</v>
      </c>
    </row>
    <row r="11" spans="2:23" x14ac:dyDescent="0.25">
      <c r="O11" s="1">
        <f t="shared" ref="O11:O74" si="5">O10-1</f>
        <v>1498</v>
      </c>
      <c r="Q11" s="12">
        <f t="shared" si="1"/>
        <v>1.4352664542873928E-8</v>
      </c>
      <c r="S11" s="13">
        <f t="shared" si="2"/>
        <v>2.1500291485225145E-5</v>
      </c>
      <c r="U11" s="13">
        <f t="shared" si="3"/>
        <v>6.4586990442932674E-6</v>
      </c>
      <c r="V11" s="12"/>
      <c r="W11" s="13">
        <f t="shared" si="4"/>
        <v>1.4165638289498571E-5</v>
      </c>
    </row>
    <row r="12" spans="2:23" x14ac:dyDescent="0.25">
      <c r="B12" s="2" t="s">
        <v>9</v>
      </c>
      <c r="C12" s="2" t="s">
        <v>8</v>
      </c>
      <c r="D12" s="2"/>
      <c r="O12" s="1">
        <f t="shared" si="5"/>
        <v>1497</v>
      </c>
      <c r="Q12" s="12">
        <f t="shared" si="1"/>
        <v>1.4568228661903253E-8</v>
      </c>
      <c r="S12" s="13">
        <f t="shared" si="2"/>
        <v>2.1808638306869168E-5</v>
      </c>
      <c r="U12" s="13">
        <f t="shared" si="3"/>
        <v>6.5557028978564634E-6</v>
      </c>
      <c r="V12" s="12"/>
      <c r="W12" s="13">
        <f t="shared" si="4"/>
        <v>1.4364673601259522E-5</v>
      </c>
    </row>
    <row r="13" spans="2:23" x14ac:dyDescent="0.25">
      <c r="B13" s="1" t="s">
        <v>10</v>
      </c>
      <c r="C13" s="11">
        <f>(LN(D5/D6)+(D9+0.5*D8^2)*D7)/D8*SQRT(D7)</f>
        <v>0.85260352636265446</v>
      </c>
      <c r="O13" s="1">
        <f t="shared" si="5"/>
        <v>1496</v>
      </c>
      <c r="Q13" s="12">
        <f t="shared" si="1"/>
        <v>1.4787045108947558E-8</v>
      </c>
      <c r="S13" s="13">
        <f t="shared" si="2"/>
        <v>2.2121419482985546E-5</v>
      </c>
      <c r="U13" s="13">
        <f t="shared" si="3"/>
        <v>6.6541702990264009E-6</v>
      </c>
      <c r="V13" s="12"/>
      <c r="W13" s="13">
        <f t="shared" si="4"/>
        <v>1.4566506713562635E-5</v>
      </c>
    </row>
    <row r="14" spans="2:23" x14ac:dyDescent="0.25">
      <c r="B14" s="1" t="s">
        <v>11</v>
      </c>
      <c r="C14" s="11">
        <f>C13-D8*SQRT(D7)</f>
        <v>0.6294535263626545</v>
      </c>
      <c r="O14" s="1">
        <f t="shared" si="5"/>
        <v>1495</v>
      </c>
      <c r="Q14" s="12">
        <f t="shared" si="1"/>
        <v>1.500916310414383E-8</v>
      </c>
      <c r="S14" s="13">
        <f t="shared" si="2"/>
        <v>2.2438698840695027E-5</v>
      </c>
      <c r="U14" s="13">
        <f t="shared" si="3"/>
        <v>6.7541233968647241E-6</v>
      </c>
      <c r="V14" s="12"/>
      <c r="W14" s="13">
        <f t="shared" si="4"/>
        <v>1.4771176877325806E-5</v>
      </c>
    </row>
    <row r="15" spans="2:23" x14ac:dyDescent="0.25">
      <c r="B15" s="1" t="s">
        <v>12</v>
      </c>
      <c r="C15" s="11">
        <f>_xlfn.NORM.S.DIST(C13,TRUE)</f>
        <v>0.80306039681245145</v>
      </c>
      <c r="O15" s="1">
        <f t="shared" si="5"/>
        <v>1494</v>
      </c>
      <c r="Q15" s="12">
        <f t="shared" si="1"/>
        <v>1.5234632613481786E-8</v>
      </c>
      <c r="S15" s="13">
        <f t="shared" si="2"/>
        <v>2.2760541124541787E-5</v>
      </c>
      <c r="U15" s="13">
        <f t="shared" si="3"/>
        <v>6.8555846760668037E-6</v>
      </c>
      <c r="V15" s="12"/>
      <c r="W15" s="13">
        <f t="shared" si="4"/>
        <v>1.4978723891375833E-5</v>
      </c>
    </row>
    <row r="16" spans="2:23" x14ac:dyDescent="0.25">
      <c r="B16" s="1" t="s">
        <v>13</v>
      </c>
      <c r="C16" s="11">
        <f>_xlfn.NORM.S.DIST(C14,TRUE)</f>
        <v>0.73547390756859865</v>
      </c>
      <c r="O16" s="1">
        <f t="shared" si="5"/>
        <v>1493</v>
      </c>
      <c r="Q16" s="12">
        <f t="shared" si="1"/>
        <v>1.5463504360095278E-8</v>
      </c>
      <c r="S16" s="13">
        <f t="shared" si="2"/>
        <v>2.3087012009622251E-5</v>
      </c>
      <c r="U16" s="13">
        <f t="shared" si="3"/>
        <v>6.9585769620428749E-6</v>
      </c>
      <c r="V16" s="12"/>
      <c r="W16" s="13">
        <f t="shared" si="4"/>
        <v>1.5189188110027439E-5</v>
      </c>
    </row>
    <row r="17" spans="2:23" x14ac:dyDescent="0.25">
      <c r="O17" s="1">
        <f t="shared" si="5"/>
        <v>1492</v>
      </c>
      <c r="Q17" s="12">
        <f t="shared" si="1"/>
        <v>1.5695829835724864E-8</v>
      </c>
      <c r="S17" s="13">
        <f t="shared" si="2"/>
        <v>2.3418178114901499E-5</v>
      </c>
      <c r="U17" s="13">
        <f t="shared" si="3"/>
        <v>7.0631234260761892E-6</v>
      </c>
      <c r="V17" s="12"/>
      <c r="W17" s="13">
        <f t="shared" si="4"/>
        <v>1.5402610450766446E-5</v>
      </c>
    </row>
    <row r="18" spans="2:23" ht="15.75" thickBot="1" x14ac:dyDescent="0.3">
      <c r="B18" s="8" t="s">
        <v>14</v>
      </c>
      <c r="C18" s="14">
        <f>D5*C15-D6*EXP(-D9*D7)*C16</f>
        <v>89.840739720098952</v>
      </c>
      <c r="D18" s="6"/>
      <c r="O18" s="1">
        <f t="shared" si="5"/>
        <v>1491</v>
      </c>
      <c r="Q18" s="12">
        <f t="shared" si="1"/>
        <v>1.5931661312353201E-8</v>
      </c>
      <c r="S18" s="13">
        <f t="shared" si="2"/>
        <v>2.3754107016718624E-5</v>
      </c>
      <c r="U18" s="13">
        <f t="shared" si="3"/>
        <v>7.1692475905589401E-6</v>
      </c>
      <c r="V18" s="12"/>
      <c r="W18" s="13">
        <f t="shared" si="4"/>
        <v>1.5619032402037603E-5</v>
      </c>
    </row>
    <row r="19" spans="2:23" ht="15.75" thickTop="1" x14ac:dyDescent="0.25">
      <c r="O19" s="1">
        <f t="shared" si="5"/>
        <v>1490</v>
      </c>
      <c r="Q19" s="12">
        <f t="shared" si="1"/>
        <v>1.6171051854016842E-8</v>
      </c>
      <c r="S19" s="13">
        <f t="shared" si="2"/>
        <v>2.4094867262485097E-5</v>
      </c>
      <c r="U19" s="13">
        <f t="shared" si="3"/>
        <v>7.2769733343075788E-6</v>
      </c>
      <c r="V19" s="12"/>
      <c r="W19" s="13">
        <f t="shared" si="4"/>
        <v>1.5838496031139469E-5</v>
      </c>
    </row>
    <row r="20" spans="2:23" x14ac:dyDescent="0.25">
      <c r="O20" s="1">
        <f t="shared" si="5"/>
        <v>1489</v>
      </c>
      <c r="Q20" s="12">
        <f t="shared" si="1"/>
        <v>1.6414055328795362E-8</v>
      </c>
      <c r="S20" s="13">
        <f t="shared" si="2"/>
        <v>2.4440528384576293E-5</v>
      </c>
      <c r="U20" s="13">
        <f t="shared" si="3"/>
        <v>7.3863248979579129E-6</v>
      </c>
      <c r="V20" s="12"/>
      <c r="W20" s="13">
        <f t="shared" si="4"/>
        <v>1.6061043992226028E-5</v>
      </c>
    </row>
    <row r="21" spans="2:23" x14ac:dyDescent="0.25">
      <c r="O21" s="1">
        <f t="shared" si="5"/>
        <v>1488</v>
      </c>
      <c r="Q21" s="12">
        <f t="shared" si="1"/>
        <v>1.6660726420980958E-8</v>
      </c>
      <c r="S21" s="13">
        <f t="shared" si="2"/>
        <v>2.4791160914419664E-5</v>
      </c>
      <c r="U21" s="13">
        <f t="shared" si="3"/>
        <v>7.497326889441431E-6</v>
      </c>
      <c r="V21" s="12"/>
      <c r="W21" s="13">
        <f t="shared" si="4"/>
        <v>1.6286719534417037E-5</v>
      </c>
    </row>
    <row r="22" spans="2:23" x14ac:dyDescent="0.25">
      <c r="O22" s="1">
        <f t="shared" si="5"/>
        <v>1487</v>
      </c>
      <c r="Q22" s="12">
        <f t="shared" si="1"/>
        <v>1.691112064343135E-8</v>
      </c>
      <c r="S22" s="13">
        <f t="shared" si="2"/>
        <v>2.5146836396782416E-5</v>
      </c>
      <c r="U22" s="13">
        <f t="shared" si="3"/>
        <v>7.6100042895441075E-6</v>
      </c>
      <c r="V22" s="12"/>
      <c r="W22" s="13">
        <f t="shared" si="4"/>
        <v>1.6515566510018563E-5</v>
      </c>
    </row>
    <row r="23" spans="2:23" x14ac:dyDescent="0.25">
      <c r="O23" s="1">
        <f t="shared" si="5"/>
        <v>1486</v>
      </c>
      <c r="Q23" s="12">
        <f t="shared" si="1"/>
        <v>1.7165294350111126E-8</v>
      </c>
      <c r="S23" s="13">
        <f t="shared" si="2"/>
        <v>2.5507627404265133E-5</v>
      </c>
      <c r="U23" s="13">
        <f t="shared" si="3"/>
        <v>7.7243824575500059E-6</v>
      </c>
      <c r="V23" s="12"/>
      <c r="W23" s="13">
        <f t="shared" si="4"/>
        <v>1.674762938285762E-5</v>
      </c>
    </row>
    <row r="24" spans="2:23" x14ac:dyDescent="0.25">
      <c r="B24" s="5" t="s">
        <v>1</v>
      </c>
      <c r="C24" s="5"/>
      <c r="D24" s="7" t="s">
        <v>2</v>
      </c>
      <c r="O24" s="1">
        <f t="shared" si="5"/>
        <v>1485</v>
      </c>
      <c r="Q24" s="12">
        <f t="shared" si="1"/>
        <v>1.7423304748819124E-8</v>
      </c>
      <c r="S24" s="13">
        <f t="shared" si="2"/>
        <v>2.5873607551996398E-5</v>
      </c>
      <c r="U24" s="13">
        <f t="shared" si="3"/>
        <v>7.8404871369686055E-6</v>
      </c>
      <c r="V24" s="12"/>
      <c r="W24" s="13">
        <f t="shared" si="4"/>
        <v>1.6982953236727241E-5</v>
      </c>
    </row>
    <row r="25" spans="2:23" x14ac:dyDescent="0.25">
      <c r="B25" t="s">
        <v>18</v>
      </c>
      <c r="D25" s="10">
        <f>LN(D5)+(D9-0.5*D8^2)*D7</f>
        <v>6.2497101371721913</v>
      </c>
      <c r="O25" s="1">
        <f t="shared" si="5"/>
        <v>1484</v>
      </c>
      <c r="Q25" s="12">
        <f t="shared" si="1"/>
        <v>1.7685209914110336E-8</v>
      </c>
      <c r="S25" s="13">
        <f t="shared" si="2"/>
        <v>2.6244851512539741E-5</v>
      </c>
      <c r="U25" s="13">
        <f t="shared" si="3"/>
        <v>7.9583444613496509E-6</v>
      </c>
      <c r="V25" s="12"/>
      <c r="W25" s="13">
        <f t="shared" si="4"/>
        <v>1.7221583783949113E-5</v>
      </c>
    </row>
    <row r="26" spans="2:23" x14ac:dyDescent="0.25">
      <c r="B26" t="s">
        <v>19</v>
      </c>
      <c r="D26">
        <f>D8*SQRT(D7)</f>
        <v>0.22314999999999999</v>
      </c>
      <c r="O26" s="1">
        <f t="shared" si="5"/>
        <v>1483</v>
      </c>
      <c r="Q26" s="12">
        <f t="shared" si="1"/>
        <v>1.795106880040978E-8</v>
      </c>
      <c r="S26" s="13">
        <f t="shared" si="2"/>
        <v>2.6621435031007706E-5</v>
      </c>
      <c r="U26" s="13">
        <f t="shared" si="3"/>
        <v>8.0779809601844007E-6</v>
      </c>
      <c r="V26" s="12"/>
      <c r="W26" s="13">
        <f t="shared" si="4"/>
        <v>1.7463567374049847E-5</v>
      </c>
    </row>
    <row r="27" spans="2:23" x14ac:dyDescent="0.25">
      <c r="B27" t="s">
        <v>24</v>
      </c>
      <c r="D27" s="18">
        <f>D5*EXP((D9-D8^2*0.5)*D7+D8*SQRT(D7))</f>
        <v>647.33254163805032</v>
      </c>
      <c r="O27" s="1">
        <f t="shared" si="5"/>
        <v>1482</v>
      </c>
      <c r="Q27" s="12">
        <f t="shared" si="1"/>
        <v>1.8220941255326209E-8</v>
      </c>
      <c r="S27" s="13">
        <f t="shared" si="2"/>
        <v>2.7003434940393443E-5</v>
      </c>
      <c r="U27" s="13">
        <f t="shared" si="3"/>
        <v>8.1994235648967937E-6</v>
      </c>
      <c r="V27" s="12"/>
      <c r="W27" s="13">
        <f t="shared" si="4"/>
        <v>1.770895100255751E-5</v>
      </c>
    </row>
    <row r="28" spans="2:23" x14ac:dyDescent="0.25">
      <c r="B28" t="s">
        <v>25</v>
      </c>
      <c r="D28" cm="1">
        <f t="array" ref="D28">SUM(S10:S1508*EXP(-D9*D7))</f>
        <v>400.8375383679392</v>
      </c>
      <c r="O28" s="1">
        <f t="shared" si="5"/>
        <v>1481</v>
      </c>
      <c r="Q28" s="12">
        <f t="shared" si="1"/>
        <v>1.849488803316611E-8</v>
      </c>
      <c r="S28" s="13">
        <f t="shared" si="2"/>
        <v>2.7390929177119009E-5</v>
      </c>
      <c r="U28" s="13">
        <f t="shared" si="3"/>
        <v>8.3226996149247487E-6</v>
      </c>
      <c r="V28" s="12"/>
      <c r="W28" s="13">
        <f t="shared" si="4"/>
        <v>1.795778231991726E-5</v>
      </c>
    </row>
    <row r="29" spans="2:23" x14ac:dyDescent="0.25">
      <c r="B29" t="s">
        <v>26</v>
      </c>
      <c r="D29" cm="1">
        <f t="array" ref="D29">SUM(U9:U1509*EXP(-D9*D7))</f>
        <v>310.99805695384435</v>
      </c>
      <c r="O29" s="1">
        <f t="shared" si="5"/>
        <v>1480</v>
      </c>
      <c r="Q29" s="12">
        <f t="shared" si="1"/>
        <v>1.8772970808651157E-8</v>
      </c>
      <c r="S29" s="13">
        <f t="shared" si="2"/>
        <v>2.7783996796803713E-5</v>
      </c>
      <c r="U29" s="13">
        <f t="shared" si="3"/>
        <v>8.4478368638930203E-6</v>
      </c>
      <c r="V29" s="12"/>
      <c r="W29" s="13">
        <f t="shared" si="4"/>
        <v>1.8210109640528075E-5</v>
      </c>
    </row>
    <row r="30" spans="2:23" x14ac:dyDescent="0.25">
      <c r="B30" t="s">
        <v>14</v>
      </c>
      <c r="D30">
        <f>D28-D29</f>
        <v>89.839481414094848</v>
      </c>
      <c r="O30" s="1">
        <f t="shared" si="5"/>
        <v>1479</v>
      </c>
      <c r="Q30" s="12">
        <f t="shared" si="1"/>
        <v>1.9055252190840178E-8</v>
      </c>
      <c r="S30" s="13">
        <f t="shared" si="2"/>
        <v>2.8182717990252622E-5</v>
      </c>
      <c r="U30" s="13">
        <f t="shared" si="3"/>
        <v>8.5748634858780804E-6</v>
      </c>
      <c r="V30" s="12"/>
      <c r="W30" s="13">
        <f t="shared" si="4"/>
        <v>1.8465981951900102E-5</v>
      </c>
    </row>
    <row r="31" spans="2:23" x14ac:dyDescent="0.25">
      <c r="O31" s="1">
        <f t="shared" si="5"/>
        <v>1478</v>
      </c>
      <c r="Q31" s="12">
        <f t="shared" si="1"/>
        <v>1.9341795737265123E-8</v>
      </c>
      <c r="S31" s="13">
        <f t="shared" si="2"/>
        <v>2.8587174099677853E-5</v>
      </c>
      <c r="U31" s="13">
        <f t="shared" si="3"/>
        <v>8.7038080817693062E-6</v>
      </c>
      <c r="V31" s="12"/>
      <c r="W31" s="13">
        <f t="shared" si="4"/>
        <v>1.8725448923940544E-5</v>
      </c>
    </row>
    <row r="32" spans="2:23" x14ac:dyDescent="0.25">
      <c r="O32" s="1">
        <f t="shared" si="5"/>
        <v>1477</v>
      </c>
      <c r="Q32" s="12">
        <f t="shared" si="1"/>
        <v>1.9632665968275301E-8</v>
      </c>
      <c r="S32" s="13">
        <f t="shared" si="2"/>
        <v>2.8997447635142621E-5</v>
      </c>
      <c r="U32" s="13">
        <f t="shared" si="3"/>
        <v>8.8346996857238853E-6</v>
      </c>
      <c r="V32" s="12"/>
      <c r="W32" s="13">
        <f t="shared" si="4"/>
        <v>1.8988560918361104E-5</v>
      </c>
    </row>
    <row r="33" spans="15:23" x14ac:dyDescent="0.25">
      <c r="O33" s="1">
        <f t="shared" si="5"/>
        <v>1476</v>
      </c>
      <c r="Q33" s="12">
        <f t="shared" si="1"/>
        <v>1.9927928381602188E-8</v>
      </c>
      <c r="S33" s="13">
        <f t="shared" si="2"/>
        <v>2.9413622291244831E-5</v>
      </c>
      <c r="U33" s="13">
        <f t="shared" si="3"/>
        <v>8.9675677717209847E-6</v>
      </c>
      <c r="V33" s="12"/>
      <c r="W33" s="13">
        <f t="shared" si="4"/>
        <v>1.9255368998217494E-5</v>
      </c>
    </row>
    <row r="34" spans="15:23" x14ac:dyDescent="0.25">
      <c r="O34" s="1">
        <f t="shared" si="5"/>
        <v>1475</v>
      </c>
      <c r="Q34" s="12">
        <f t="shared" si="1"/>
        <v>2.0227649467138993E-8</v>
      </c>
      <c r="S34" s="13">
        <f t="shared" si="2"/>
        <v>2.9835782964030014E-5</v>
      </c>
      <c r="U34" s="13">
        <f t="shared" si="3"/>
        <v>9.1024422602125475E-6</v>
      </c>
      <c r="V34" s="12"/>
      <c r="W34" s="13">
        <f t="shared" si="4"/>
        <v>1.9525924937573974E-5</v>
      </c>
    </row>
    <row r="35" spans="15:23" x14ac:dyDescent="0.25">
      <c r="O35" s="1">
        <f t="shared" si="5"/>
        <v>1474</v>
      </c>
      <c r="Q35" s="12">
        <f t="shared" si="1"/>
        <v>2.0531896721945565E-8</v>
      </c>
      <c r="S35" s="13">
        <f t="shared" si="2"/>
        <v>3.0264015768147764E-5</v>
      </c>
      <c r="U35" s="13">
        <f t="shared" si="3"/>
        <v>9.2393535248755038E-6</v>
      </c>
      <c r="V35" s="12"/>
      <c r="W35" s="13">
        <f t="shared" si="4"/>
        <v>1.9800281231301664E-5</v>
      </c>
    </row>
    <row r="36" spans="15:23" x14ac:dyDescent="0.25">
      <c r="O36" s="1">
        <f t="shared" si="5"/>
        <v>1473</v>
      </c>
      <c r="Q36" s="12">
        <f t="shared" si="1"/>
        <v>2.0840738665479618E-8</v>
      </c>
      <c r="S36" s="13">
        <f t="shared" si="2"/>
        <v>3.0698408054251477E-5</v>
      </c>
      <c r="U36" s="13">
        <f t="shared" si="3"/>
        <v>9.3783323994658274E-6</v>
      </c>
      <c r="V36" s="12"/>
      <c r="W36" s="13">
        <f t="shared" si="4"/>
        <v>2.0078491105010106E-5</v>
      </c>
    </row>
    <row r="37" spans="15:23" x14ac:dyDescent="0.25">
      <c r="O37" s="1">
        <f t="shared" si="5"/>
        <v>1472</v>
      </c>
      <c r="Q37" s="12">
        <f t="shared" si="1"/>
        <v>2.1154244855055078E-8</v>
      </c>
      <c r="S37" s="13">
        <f t="shared" si="2"/>
        <v>3.1139048426641076E-5</v>
      </c>
      <c r="U37" s="13">
        <f t="shared" si="3"/>
        <v>9.5194101847747857E-6</v>
      </c>
      <c r="V37" s="12"/>
      <c r="W37" s="13">
        <f t="shared" si="4"/>
        <v>2.0360608525111392E-5</v>
      </c>
    </row>
    <row r="38" spans="15:23" x14ac:dyDescent="0.25">
      <c r="O38" s="1">
        <f t="shared" si="5"/>
        <v>1471</v>
      </c>
      <c r="Q38" s="12">
        <f t="shared" si="1"/>
        <v>2.1472485901533288E-8</v>
      </c>
      <c r="S38" s="13">
        <f t="shared" si="2"/>
        <v>3.1586026761155465E-5</v>
      </c>
      <c r="U38" s="13">
        <f t="shared" si="3"/>
        <v>9.6626186556899804E-6</v>
      </c>
      <c r="V38" s="12"/>
      <c r="W38" s="13">
        <f t="shared" si="4"/>
        <v>2.064668820902084E-5</v>
      </c>
    </row>
    <row r="39" spans="15:23" x14ac:dyDescent="0.25">
      <c r="O39" s="1">
        <f t="shared" si="5"/>
        <v>1470</v>
      </c>
      <c r="Q39" s="12">
        <f t="shared" si="1"/>
        <v>2.1795533485253954E-8</v>
      </c>
      <c r="S39" s="13">
        <f t="shared" si="2"/>
        <v>3.2039434223323316E-5</v>
      </c>
      <c r="U39" s="13">
        <f t="shared" si="3"/>
        <v>9.8079900683642791E-6</v>
      </c>
      <c r="V39" s="12"/>
      <c r="W39" s="13">
        <f t="shared" si="4"/>
        <v>2.0936785635499271E-5</v>
      </c>
    </row>
    <row r="40" spans="15:23" x14ac:dyDescent="0.25">
      <c r="O40" s="1">
        <f t="shared" si="5"/>
        <v>1469</v>
      </c>
      <c r="Q40" s="12">
        <f t="shared" si="1"/>
        <v>2.2123460372199611E-8</v>
      </c>
      <c r="S40" s="13">
        <f t="shared" si="2"/>
        <v>3.249936328676123E-5</v>
      </c>
      <c r="U40" s="13">
        <f t="shared" si="3"/>
        <v>9.9555571674898258E-6</v>
      </c>
      <c r="V40" s="12"/>
      <c r="W40" s="13">
        <f t="shared" si="4"/>
        <v>2.1230957055129366E-5</v>
      </c>
    </row>
    <row r="41" spans="15:23" x14ac:dyDescent="0.25">
      <c r="O41" s="1">
        <f t="shared" si="5"/>
        <v>1468</v>
      </c>
      <c r="Q41" s="12">
        <f t="shared" si="1"/>
        <v>2.2456340430408508E-8</v>
      </c>
      <c r="S41" s="13">
        <f t="shared" si="2"/>
        <v>3.2965907751839693E-5</v>
      </c>
      <c r="U41" s="13">
        <f t="shared" si="3"/>
        <v>1.0105353193683829E-5</v>
      </c>
      <c r="V41" s="12"/>
      <c r="W41" s="13">
        <f t="shared" si="4"/>
        <v>2.1529259500938929E-5</v>
      </c>
    </row>
    <row r="42" spans="15:23" x14ac:dyDescent="0.25">
      <c r="O42" s="1">
        <f t="shared" si="5"/>
        <v>1467</v>
      </c>
      <c r="Q42" s="12">
        <f t="shared" si="1"/>
        <v>2.2794248646632779E-8</v>
      </c>
      <c r="S42" s="13">
        <f t="shared" si="2"/>
        <v>3.3439162764610285E-5</v>
      </c>
      <c r="U42" s="13">
        <f t="shared" si="3"/>
        <v>1.0257411890984751E-5</v>
      </c>
      <c r="V42" s="12"/>
      <c r="W42" s="13">
        <f t="shared" si="4"/>
        <v>2.18317507991662E-5</v>
      </c>
    </row>
    <row r="43" spans="15:23" x14ac:dyDescent="0.25">
      <c r="O43" s="1">
        <f t="shared" si="5"/>
        <v>1466</v>
      </c>
      <c r="Q43" s="12">
        <f t="shared" si="1"/>
        <v>2.3137261143245445E-8</v>
      </c>
      <c r="S43" s="13">
        <f t="shared" si="2"/>
        <v>3.391922483599782E-5</v>
      </c>
      <c r="U43" s="13">
        <f t="shared" si="3"/>
        <v>1.041176751446045E-5</v>
      </c>
      <c r="V43" s="12"/>
      <c r="W43" s="13">
        <f t="shared" si="4"/>
        <v>2.2138489580169273E-5</v>
      </c>
    </row>
    <row r="44" spans="15:23" x14ac:dyDescent="0.25">
      <c r="O44" s="1">
        <f t="shared" si="5"/>
        <v>1465</v>
      </c>
      <c r="Q44" s="12">
        <f t="shared" si="1"/>
        <v>2.3485455195404576E-8</v>
      </c>
      <c r="S44" s="13">
        <f t="shared" si="2"/>
        <v>3.4406191861267707E-5</v>
      </c>
      <c r="U44" s="13">
        <f t="shared" si="3"/>
        <v>1.0568454837932059E-5</v>
      </c>
      <c r="V44" s="12"/>
      <c r="W44" s="13">
        <f t="shared" si="4"/>
        <v>2.2449535289485675E-5</v>
      </c>
    </row>
    <row r="45" spans="15:23" x14ac:dyDescent="0.25">
      <c r="O45" s="1">
        <f t="shared" si="5"/>
        <v>1464</v>
      </c>
      <c r="Q45" s="12">
        <f t="shared" si="1"/>
        <v>2.3838909248472516E-8</v>
      </c>
      <c r="S45" s="13">
        <f t="shared" si="2"/>
        <v>3.4900163139763764E-5</v>
      </c>
      <c r="U45" s="13">
        <f t="shared" si="3"/>
        <v>1.0727509161812632E-5</v>
      </c>
      <c r="V45" s="12"/>
      <c r="W45" s="13">
        <f t="shared" si="4"/>
        <v>2.2764948199038581E-5</v>
      </c>
    </row>
    <row r="46" spans="15:23" x14ac:dyDescent="0.25">
      <c r="O46" s="1">
        <f t="shared" si="5"/>
        <v>1463</v>
      </c>
      <c r="Q46" s="12">
        <f t="shared" si="1"/>
        <v>2.4197702935700158E-8</v>
      </c>
      <c r="S46" s="13">
        <f t="shared" si="2"/>
        <v>3.5401239394929331E-5</v>
      </c>
      <c r="U46" s="13">
        <f t="shared" si="3"/>
        <v>1.0888966321065071E-5</v>
      </c>
      <c r="V46" s="12"/>
      <c r="W46" s="13">
        <f t="shared" si="4"/>
        <v>2.3084789418497515E-5</v>
      </c>
    </row>
    <row r="47" spans="15:23" x14ac:dyDescent="0.25">
      <c r="O47" s="1">
        <f t="shared" si="5"/>
        <v>1462</v>
      </c>
      <c r="Q47" s="12">
        <f t="shared" si="1"/>
        <v>2.4561917096174052E-8</v>
      </c>
      <c r="S47" s="13">
        <f t="shared" si="2"/>
        <v>3.5909522794606466E-5</v>
      </c>
      <c r="U47" s="13">
        <f t="shared" si="3"/>
        <v>1.1052862693278324E-5</v>
      </c>
      <c r="V47" s="12"/>
      <c r="W47" s="13">
        <f t="shared" si="4"/>
        <v>2.3409120906789503E-5</v>
      </c>
    </row>
    <row r="48" spans="15:23" x14ac:dyDescent="0.25">
      <c r="O48" s="1">
        <f t="shared" si="5"/>
        <v>1461</v>
      </c>
      <c r="Q48" s="12">
        <f t="shared" si="1"/>
        <v>2.4931633793034481E-8</v>
      </c>
      <c r="S48" s="13">
        <f t="shared" si="2"/>
        <v>3.6425116971623378E-5</v>
      </c>
      <c r="U48" s="13">
        <f t="shared" si="3"/>
        <v>1.1219235206865517E-5</v>
      </c>
      <c r="V48" s="12"/>
      <c r="W48" s="13">
        <f t="shared" si="4"/>
        <v>2.3738005483766909E-5</v>
      </c>
    </row>
    <row r="49" spans="15:23" x14ac:dyDescent="0.25">
      <c r="O49" s="1">
        <f t="shared" si="5"/>
        <v>1460</v>
      </c>
      <c r="Q49" s="12">
        <f t="shared" si="1"/>
        <v>2.5306936331969297E-8</v>
      </c>
      <c r="S49" s="13">
        <f t="shared" si="2"/>
        <v>3.6948127044675174E-5</v>
      </c>
      <c r="U49" s="13">
        <f t="shared" si="3"/>
        <v>1.1388121349386184E-5</v>
      </c>
      <c r="V49" s="12"/>
      <c r="W49" s="13">
        <f t="shared" si="4"/>
        <v>2.4071506842034577E-5</v>
      </c>
    </row>
    <row r="50" spans="15:23" x14ac:dyDescent="0.25">
      <c r="O50" s="1">
        <f t="shared" si="5"/>
        <v>1459</v>
      </c>
      <c r="Q50" s="12">
        <f t="shared" si="1"/>
        <v>2.5687909279981522E-8</v>
      </c>
      <c r="S50" s="13">
        <f t="shared" si="2"/>
        <v>3.7478659639493042E-5</v>
      </c>
      <c r="U50" s="13">
        <f t="shared" si="3"/>
        <v>1.1559559175991684E-5</v>
      </c>
      <c r="V50" s="12"/>
      <c r="W50" s="13">
        <f t="shared" si="4"/>
        <v>2.4409689558932638E-5</v>
      </c>
    </row>
    <row r="51" spans="15:23" x14ac:dyDescent="0.25">
      <c r="O51" s="1">
        <f t="shared" si="5"/>
        <v>1458</v>
      </c>
      <c r="Q51" s="12">
        <f t="shared" si="1"/>
        <v>2.6074638484441076E-8</v>
      </c>
      <c r="S51" s="13">
        <f t="shared" si="2"/>
        <v>3.8016822910315089E-5</v>
      </c>
      <c r="U51" s="13">
        <f t="shared" si="3"/>
        <v>1.1733587317998484E-5</v>
      </c>
      <c r="V51" s="12"/>
      <c r="W51" s="13">
        <f t="shared" si="4"/>
        <v>2.475261910868297E-5</v>
      </c>
    </row>
    <row r="52" spans="15:23" x14ac:dyDescent="0.25">
      <c r="O52" s="1">
        <f t="shared" si="5"/>
        <v>1457</v>
      </c>
      <c r="Q52" s="12">
        <f t="shared" si="1"/>
        <v>2.646721109242608E-8</v>
      </c>
      <c r="S52" s="13">
        <f t="shared" si="2"/>
        <v>3.8562726561664797E-5</v>
      </c>
      <c r="U52" s="13">
        <f t="shared" si="3"/>
        <v>1.1910244991591736E-5</v>
      </c>
      <c r="V52" s="12"/>
      <c r="W52" s="13">
        <f t="shared" si="4"/>
        <v>2.5100361874702638E-5</v>
      </c>
    </row>
    <row r="53" spans="15:23" x14ac:dyDescent="0.25">
      <c r="O53" s="1">
        <f t="shared" si="5"/>
        <v>1456</v>
      </c>
      <c r="Q53" s="12">
        <f t="shared" si="1"/>
        <v>2.6865715570346656E-8</v>
      </c>
      <c r="S53" s="13">
        <f t="shared" si="2"/>
        <v>3.911648187042473E-5</v>
      </c>
      <c r="U53" s="13">
        <f t="shared" si="3"/>
        <v>1.2089572006655995E-5</v>
      </c>
      <c r="V53" s="12"/>
      <c r="W53" s="13">
        <f t="shared" si="4"/>
        <v>2.5452985162075693E-5</v>
      </c>
    </row>
    <row r="54" spans="15:23" x14ac:dyDescent="0.25">
      <c r="O54" s="1">
        <f t="shared" si="5"/>
        <v>1455</v>
      </c>
      <c r="Q54" s="12">
        <f t="shared" si="1"/>
        <v>2.7270241723870912E-8</v>
      </c>
      <c r="S54" s="13">
        <f t="shared" si="2"/>
        <v>3.9678201708232177E-5</v>
      </c>
      <c r="U54" s="13">
        <f t="shared" si="3"/>
        <v>1.2271608775741911E-5</v>
      </c>
      <c r="V54" s="12"/>
      <c r="W54" s="13">
        <f t="shared" si="4"/>
        <v>2.5810557210200061E-5</v>
      </c>
    </row>
    <row r="55" spans="15:23" x14ac:dyDescent="0.25">
      <c r="O55" s="1">
        <f t="shared" si="5"/>
        <v>1454</v>
      </c>
      <c r="Q55" s="12">
        <f t="shared" si="1"/>
        <v>2.7680880718147888E-8</v>
      </c>
      <c r="S55" s="13">
        <f t="shared" si="2"/>
        <v>4.0248000564187028E-5</v>
      </c>
      <c r="U55" s="13">
        <f t="shared" si="3"/>
        <v>1.245639632316655E-5</v>
      </c>
      <c r="V55" s="12"/>
      <c r="W55" s="13">
        <f t="shared" si="4"/>
        <v>2.6173147205602679E-5</v>
      </c>
    </row>
    <row r="56" spans="15:23" x14ac:dyDescent="0.25">
      <c r="O56" s="1">
        <f t="shared" si="5"/>
        <v>1453</v>
      </c>
      <c r="Q56" s="12">
        <f t="shared" si="1"/>
        <v>2.8097725098330304E-8</v>
      </c>
      <c r="S56" s="13">
        <f t="shared" si="2"/>
        <v>4.0825994567873929E-5</v>
      </c>
      <c r="U56" s="13">
        <f t="shared" si="3"/>
        <v>1.2643976294248637E-5</v>
      </c>
      <c r="V56" s="12"/>
      <c r="W56" s="13">
        <f t="shared" si="4"/>
        <v>2.6540825294923496E-5</v>
      </c>
    </row>
    <row r="57" spans="15:23" x14ac:dyDescent="0.25">
      <c r="O57" s="1">
        <f t="shared" si="5"/>
        <v>1452</v>
      </c>
      <c r="Q57" s="12">
        <f t="shared" si="1"/>
        <v>2.8520868810410904E-8</v>
      </c>
      <c r="S57" s="13">
        <f t="shared" si="2"/>
        <v>4.1412301512716632E-5</v>
      </c>
      <c r="U57" s="13">
        <f t="shared" si="3"/>
        <v>1.2834390964684907E-5</v>
      </c>
      <c r="V57" s="12"/>
      <c r="W57" s="13">
        <f t="shared" si="4"/>
        <v>2.6913662598079477E-5</v>
      </c>
    </row>
    <row r="58" spans="15:23" x14ac:dyDescent="0.25">
      <c r="O58" s="1">
        <f t="shared" si="5"/>
        <v>1451</v>
      </c>
      <c r="Q58" s="12">
        <f t="shared" si="1"/>
        <v>2.8950407222369394E-8</v>
      </c>
      <c r="S58" s="13">
        <f t="shared" si="2"/>
        <v>4.2007040879657989E-5</v>
      </c>
      <c r="U58" s="13">
        <f t="shared" si="3"/>
        <v>1.3027683250066228E-5</v>
      </c>
      <c r="V58" s="12"/>
      <c r="W58" s="13">
        <f t="shared" si="4"/>
        <v>2.7291731221603626E-5</v>
      </c>
    </row>
    <row r="59" spans="15:23" x14ac:dyDescent="0.25">
      <c r="O59" s="1">
        <f t="shared" si="5"/>
        <v>1450</v>
      </c>
      <c r="Q59" s="12">
        <f t="shared" si="1"/>
        <v>2.9386437145635638E-8</v>
      </c>
      <c r="S59" s="13">
        <f t="shared" si="2"/>
        <v>4.2610333861171673E-5</v>
      </c>
      <c r="U59" s="13">
        <f t="shared" si="3"/>
        <v>1.3223896715536037E-5</v>
      </c>
      <c r="V59" s="12"/>
      <c r="W59" s="13">
        <f t="shared" si="4"/>
        <v>2.7675104272162385E-5</v>
      </c>
    </row>
    <row r="60" spans="15:23" x14ac:dyDescent="0.25">
      <c r="O60" s="1">
        <f t="shared" si="5"/>
        <v>1449</v>
      </c>
      <c r="Q60" s="12">
        <f t="shared" si="1"/>
        <v>2.9829056856875272E-8</v>
      </c>
      <c r="S60" s="13">
        <f t="shared" si="2"/>
        <v>4.3222303385612267E-5</v>
      </c>
      <c r="U60" s="13">
        <f t="shared" si="3"/>
        <v>1.3423075585593872E-5</v>
      </c>
      <c r="V60" s="12"/>
      <c r="W60" s="13">
        <f t="shared" si="4"/>
        <v>2.8063855870255102E-5</v>
      </c>
    </row>
    <row r="61" spans="15:23" x14ac:dyDescent="0.25">
      <c r="O61" s="1">
        <f t="shared" si="5"/>
        <v>1448</v>
      </c>
      <c r="Q61" s="12">
        <f t="shared" si="1"/>
        <v>3.0278366120103011E-8</v>
      </c>
      <c r="S61" s="13">
        <f t="shared" si="2"/>
        <v>4.3843074141909158E-5</v>
      </c>
      <c r="U61" s="13">
        <f t="shared" si="3"/>
        <v>1.3625264754046354E-5</v>
      </c>
      <c r="V61" s="12"/>
      <c r="W61" s="13">
        <f t="shared" si="4"/>
        <v>2.8458061164098344E-5</v>
      </c>
    </row>
    <row r="62" spans="15:23" x14ac:dyDescent="0.25">
      <c r="O62" s="1">
        <f t="shared" si="5"/>
        <v>1447</v>
      </c>
      <c r="Q62" s="12">
        <f t="shared" si="1"/>
        <v>3.0734466209126921E-8</v>
      </c>
      <c r="S62" s="13">
        <f t="shared" si="2"/>
        <v>4.4472772604606652E-5</v>
      </c>
      <c r="U62" s="13">
        <f t="shared" si="3"/>
        <v>1.3830509794107114E-5</v>
      </c>
      <c r="V62" s="12"/>
      <c r="W62" s="13">
        <f t="shared" si="4"/>
        <v>2.8857796343696072E-5</v>
      </c>
    </row>
    <row r="63" spans="15:23" x14ac:dyDescent="0.25">
      <c r="O63" s="1">
        <f t="shared" si="5"/>
        <v>1446</v>
      </c>
      <c r="Q63" s="12">
        <f t="shared" si="1"/>
        <v>3.1197459930330944E-8</v>
      </c>
      <c r="S63" s="13">
        <f t="shared" si="2"/>
        <v>4.5111527059258544E-5</v>
      </c>
      <c r="U63" s="13">
        <f t="shared" si="3"/>
        <v>1.4038856968648925E-5</v>
      </c>
      <c r="V63" s="12"/>
      <c r="W63" s="13">
        <f t="shared" si="4"/>
        <v>2.9263138655100203E-5</v>
      </c>
    </row>
    <row r="64" spans="15:23" x14ac:dyDescent="0.25">
      <c r="O64" s="1">
        <f t="shared" si="5"/>
        <v>1445</v>
      </c>
      <c r="Q64" s="12">
        <f t="shared" si="1"/>
        <v>3.1667451645795591E-8</v>
      </c>
      <c r="S64" s="13">
        <f t="shared" si="2"/>
        <v>4.5759467628174627E-5</v>
      </c>
      <c r="U64" s="13">
        <f t="shared" si="3"/>
        <v>1.4250353240608016E-5</v>
      </c>
      <c r="V64" s="12"/>
      <c r="W64" s="13">
        <f t="shared" si="4"/>
        <v>2.9674166414859409E-5</v>
      </c>
    </row>
    <row r="65" spans="15:23" x14ac:dyDescent="0.25">
      <c r="O65" s="1">
        <f t="shared" si="5"/>
        <v>1444</v>
      </c>
      <c r="Q65" s="12">
        <f t="shared" si="1"/>
        <v>3.2144547296768778E-8</v>
      </c>
      <c r="S65" s="13">
        <f t="shared" si="2"/>
        <v>4.6416726296534116E-5</v>
      </c>
      <c r="U65" s="13">
        <f t="shared" si="3"/>
        <v>1.446504628354595E-5</v>
      </c>
      <c r="V65" s="12"/>
      <c r="W65" s="13">
        <f t="shared" si="4"/>
        <v>3.0090959024664961E-5</v>
      </c>
    </row>
    <row r="66" spans="15:23" x14ac:dyDescent="0.25">
      <c r="O66" s="1">
        <f t="shared" si="5"/>
        <v>1443</v>
      </c>
      <c r="Q66" s="12">
        <f t="shared" si="1"/>
        <v>3.2628854427484393E-8</v>
      </c>
      <c r="S66" s="13">
        <f t="shared" si="2"/>
        <v>4.7083436938859981E-5</v>
      </c>
      <c r="U66" s="13">
        <f t="shared" si="3"/>
        <v>1.4682984492367976E-5</v>
      </c>
      <c r="V66" s="12"/>
      <c r="W66" s="13">
        <f t="shared" si="4"/>
        <v>3.0513596986189172E-5</v>
      </c>
    </row>
    <row r="67" spans="15:23" x14ac:dyDescent="0.25">
      <c r="O67" s="1">
        <f t="shared" si="5"/>
        <v>1442</v>
      </c>
      <c r="Q67" s="12">
        <f t="shared" si="1"/>
        <v>3.3120482209345135E-8</v>
      </c>
      <c r="S67" s="13">
        <f t="shared" si="2"/>
        <v>4.7759735345875684E-5</v>
      </c>
      <c r="U67" s="13">
        <f t="shared" si="3"/>
        <v>1.4904216994205311E-5</v>
      </c>
      <c r="V67" s="12"/>
      <c r="W67" s="13">
        <f t="shared" si="4"/>
        <v>3.0942161916129575E-5</v>
      </c>
    </row>
    <row r="68" spans="15:23" x14ac:dyDescent="0.25">
      <c r="O68" s="1">
        <f t="shared" si="5"/>
        <v>1441</v>
      </c>
      <c r="Q68" s="12">
        <f t="shared" si="1"/>
        <v>3.3619541465459158E-8</v>
      </c>
      <c r="S68" s="13">
        <f t="shared" si="2"/>
        <v>4.8445759251726649E-5</v>
      </c>
      <c r="U68" s="13">
        <f t="shared" si="3"/>
        <v>1.5128793659456621E-5</v>
      </c>
      <c r="V68" s="12"/>
      <c r="W68" s="13">
        <f t="shared" si="4"/>
        <v>3.1376736561446647E-5</v>
      </c>
    </row>
    <row r="69" spans="15:23" x14ac:dyDescent="0.25">
      <c r="O69" s="1">
        <f t="shared" si="5"/>
        <v>1440</v>
      </c>
      <c r="Q69" s="12">
        <f t="shared" si="1"/>
        <v>3.4126144695547878E-8</v>
      </c>
      <c r="S69" s="13">
        <f t="shared" si="2"/>
        <v>4.9141648361588941E-5</v>
      </c>
      <c r="U69" s="13">
        <f t="shared" si="3"/>
        <v>1.5356765112996546E-5</v>
      </c>
      <c r="V69" s="12"/>
      <c r="W69" s="13">
        <f t="shared" si="4"/>
        <v>3.1817404814808916E-5</v>
      </c>
    </row>
    <row r="70" spans="15:23" x14ac:dyDescent="0.25">
      <c r="O70" s="1">
        <f t="shared" si="5"/>
        <v>1439</v>
      </c>
      <c r="Q70" s="12">
        <f t="shared" si="1"/>
        <v>3.4640406101231424E-8</v>
      </c>
      <c r="S70" s="13">
        <f t="shared" si="2"/>
        <v>4.9847544379672016E-5</v>
      </c>
      <c r="U70" s="13">
        <f t="shared" si="3"/>
        <v>1.558818274555414E-5</v>
      </c>
      <c r="V70" s="12"/>
      <c r="W70" s="13">
        <f t="shared" si="4"/>
        <v>3.2264251730249121E-5</v>
      </c>
    </row>
    <row r="71" spans="15:23" x14ac:dyDescent="0.25">
      <c r="O71" s="1">
        <f t="shared" si="5"/>
        <v>1438</v>
      </c>
      <c r="Q71" s="12">
        <f t="shared" si="1"/>
        <v>3.5162441611682943E-8</v>
      </c>
      <c r="S71" s="13">
        <f t="shared" si="2"/>
        <v>5.0563591037600071E-5</v>
      </c>
      <c r="U71" s="13">
        <f t="shared" si="3"/>
        <v>1.5823098725257323E-5</v>
      </c>
      <c r="V71" s="12"/>
      <c r="W71" s="13">
        <f t="shared" si="4"/>
        <v>3.2717363539020643E-5</v>
      </c>
    </row>
    <row r="72" spans="15:23" x14ac:dyDescent="0.25">
      <c r="O72" s="1">
        <f t="shared" si="5"/>
        <v>1437</v>
      </c>
      <c r="Q72" s="12">
        <f t="shared" si="1"/>
        <v>3.5692368909677715E-8</v>
      </c>
      <c r="S72" s="13">
        <f t="shared" si="2"/>
        <v>5.1289934123206876E-5</v>
      </c>
      <c r="U72" s="13">
        <f t="shared" si="3"/>
        <v>1.6061566009354973E-5</v>
      </c>
      <c r="V72" s="12"/>
      <c r="W72" s="13">
        <f t="shared" si="4"/>
        <v>3.3176827665675954E-5</v>
      </c>
    </row>
    <row r="73" spans="15:23" x14ac:dyDescent="0.25">
      <c r="O73" s="1">
        <f t="shared" si="5"/>
        <v>1436</v>
      </c>
      <c r="Q73" s="12">
        <f t="shared" si="1"/>
        <v>3.623030745802399E-8</v>
      </c>
      <c r="S73" s="13">
        <f t="shared" si="2"/>
        <v>5.2026721509722451E-5</v>
      </c>
      <c r="U73" s="13">
        <f t="shared" si="3"/>
        <v>1.6303638356110796E-5</v>
      </c>
      <c r="V73" s="12"/>
      <c r="W73" s="13">
        <f t="shared" si="4"/>
        <v>3.3642732744352411E-5</v>
      </c>
    </row>
    <row r="74" spans="15:23" x14ac:dyDescent="0.25">
      <c r="O74" s="1">
        <f t="shared" si="5"/>
        <v>1435</v>
      </c>
      <c r="Q74" s="12">
        <f t="shared" ref="Q74:Q137" si="6">_xlfn.LOGNORM.DIST(O74,$D$25,$D$26,FALSE)</f>
        <v>3.677637852639325E-8</v>
      </c>
      <c r="S74" s="13">
        <f t="shared" ref="S74:S137" si="7">IF(O74&gt;$D$6,O74*Q74,0)</f>
        <v>5.2774103185374314E-5</v>
      </c>
      <c r="U74" s="13">
        <f t="shared" ref="U74:U137" si="8">IF(O74&gt;$D$6,$D$6*Q74,0)</f>
        <v>1.6549370336876962E-5</v>
      </c>
      <c r="V74" s="12"/>
      <c r="W74" s="13">
        <f t="shared" ref="W74:W137" si="9">(S74-U74)*EXP(-$D$9*$D$7)</f>
        <v>3.4115168635279123E-5</v>
      </c>
    </row>
    <row r="75" spans="15:23" x14ac:dyDescent="0.25">
      <c r="O75" s="1">
        <f t="shared" ref="O75:O138" si="10">O74-1</f>
        <v>1434</v>
      </c>
      <c r="Q75" s="12">
        <f t="shared" si="6"/>
        <v>3.7330705218555359E-8</v>
      </c>
      <c r="S75" s="13">
        <f t="shared" si="7"/>
        <v>5.3532231283408388E-5</v>
      </c>
      <c r="U75" s="13">
        <f t="shared" si="8"/>
        <v>1.6798817348349912E-5</v>
      </c>
      <c r="V75" s="12"/>
      <c r="W75" s="13">
        <f t="shared" si="9"/>
        <v>3.4594226441507487E-5</v>
      </c>
    </row>
    <row r="76" spans="15:23" x14ac:dyDescent="0.25">
      <c r="O76" s="1">
        <f t="shared" si="10"/>
        <v>1433</v>
      </c>
      <c r="Q76" s="12">
        <f t="shared" si="6"/>
        <v>3.789341250000961E-8</v>
      </c>
      <c r="S76" s="13">
        <f t="shared" si="7"/>
        <v>5.430126011251377E-5</v>
      </c>
      <c r="U76" s="13">
        <f t="shared" si="8"/>
        <v>1.7052035625004325E-5</v>
      </c>
      <c r="V76" s="12"/>
      <c r="W76" s="13">
        <f t="shared" si="9"/>
        <v>3.5079998525854307E-5</v>
      </c>
    </row>
    <row r="77" spans="15:23" x14ac:dyDescent="0.25">
      <c r="O77" s="1">
        <f t="shared" si="10"/>
        <v>1432</v>
      </c>
      <c r="Q77" s="12">
        <f t="shared" si="6"/>
        <v>3.8464627226046171E-8</v>
      </c>
      <c r="S77" s="13">
        <f t="shared" si="7"/>
        <v>5.508134618769812E-5</v>
      </c>
      <c r="U77" s="13">
        <f t="shared" si="8"/>
        <v>1.7309082251720778E-5</v>
      </c>
      <c r="V77" s="12"/>
      <c r="W77" s="13">
        <f t="shared" si="9"/>
        <v>3.5572578528086837E-5</v>
      </c>
    </row>
    <row r="78" spans="15:23" x14ac:dyDescent="0.25">
      <c r="O78" s="1">
        <f t="shared" si="10"/>
        <v>1431</v>
      </c>
      <c r="Q78" s="12">
        <f t="shared" si="6"/>
        <v>3.904447817021257E-8</v>
      </c>
      <c r="S78" s="13">
        <f t="shared" si="7"/>
        <v>5.5872648261574185E-5</v>
      </c>
      <c r="U78" s="13">
        <f t="shared" si="8"/>
        <v>1.7570015176595657E-5</v>
      </c>
      <c r="V78" s="12"/>
      <c r="W78" s="13">
        <f t="shared" si="9"/>
        <v>3.6072061382323415E-5</v>
      </c>
    </row>
    <row r="79" spans="15:23" x14ac:dyDescent="0.25">
      <c r="O79" s="1">
        <f t="shared" si="10"/>
        <v>1430</v>
      </c>
      <c r="Q79" s="12">
        <f t="shared" si="6"/>
        <v>3.9633096053210834E-8</v>
      </c>
      <c r="S79" s="13">
        <f t="shared" si="7"/>
        <v>5.6675327356091495E-5</v>
      </c>
      <c r="U79" s="13">
        <f t="shared" si="8"/>
        <v>1.7834893223944874E-5</v>
      </c>
      <c r="V79" s="12"/>
      <c r="W79" s="13">
        <f t="shared" si="9"/>
        <v>3.6578543334670795E-5</v>
      </c>
    </row>
    <row r="80" spans="15:23" x14ac:dyDescent="0.25">
      <c r="O80" s="1">
        <f t="shared" si="10"/>
        <v>1429</v>
      </c>
      <c r="Q80" s="12">
        <f t="shared" si="6"/>
        <v>4.0230613572232772E-8</v>
      </c>
      <c r="S80" s="13">
        <f t="shared" si="7"/>
        <v>5.7489546794720631E-5</v>
      </c>
      <c r="U80" s="13">
        <f t="shared" si="8"/>
        <v>1.8103776107504746E-5</v>
      </c>
      <c r="V80" s="12"/>
      <c r="W80" s="13">
        <f t="shared" si="9"/>
        <v>3.7092121961102042E-5</v>
      </c>
    </row>
    <row r="81" spans="15:23" x14ac:dyDescent="0.25">
      <c r="O81" s="1">
        <f t="shared" si="10"/>
        <v>1428</v>
      </c>
      <c r="Q81" s="12">
        <f t="shared" si="6"/>
        <v>4.0837165430724195E-8</v>
      </c>
      <c r="S81" s="13">
        <f t="shared" si="7"/>
        <v>5.8315472235074151E-5</v>
      </c>
      <c r="U81" s="13">
        <f t="shared" si="8"/>
        <v>1.8376724443825886E-5</v>
      </c>
      <c r="V81" s="12"/>
      <c r="W81" s="13">
        <f t="shared" si="9"/>
        <v>3.7612896185563868E-5</v>
      </c>
    </row>
    <row r="82" spans="15:23" x14ac:dyDescent="0.25">
      <c r="O82" s="1">
        <f t="shared" si="10"/>
        <v>1427</v>
      </c>
      <c r="Q82" s="12">
        <f t="shared" si="6"/>
        <v>4.1452888368599455E-8</v>
      </c>
      <c r="S82" s="13">
        <f t="shared" si="7"/>
        <v>5.9153271701991419E-5</v>
      </c>
      <c r="U82" s="13">
        <f t="shared" si="8"/>
        <v>1.8653799765869754E-5</v>
      </c>
      <c r="V82" s="12"/>
      <c r="W82" s="13">
        <f t="shared" si="9"/>
        <v>3.8140966298329991E-5</v>
      </c>
    </row>
    <row r="83" spans="15:23" x14ac:dyDescent="0.25">
      <c r="O83" s="1">
        <f t="shared" si="10"/>
        <v>1426</v>
      </c>
      <c r="Q83" s="12">
        <f t="shared" si="6"/>
        <v>4.2077921192908186E-8</v>
      </c>
      <c r="S83" s="13">
        <f t="shared" si="7"/>
        <v>6.0003115621087074E-5</v>
      </c>
      <c r="U83" s="13">
        <f t="shared" si="8"/>
        <v>1.8935064536808685E-5</v>
      </c>
      <c r="V83" s="12"/>
      <c r="W83" s="13">
        <f t="shared" si="9"/>
        <v>3.8676433974599536E-5</v>
      </c>
    </row>
    <row r="84" spans="15:23" x14ac:dyDescent="0.25">
      <c r="O84" s="1">
        <f t="shared" si="10"/>
        <v>1425</v>
      </c>
      <c r="Q84" s="12">
        <f t="shared" si="6"/>
        <v>4.2712404808956714E-8</v>
      </c>
      <c r="S84" s="13">
        <f t="shared" si="7"/>
        <v>6.0865176852763317E-5</v>
      </c>
      <c r="U84" s="13">
        <f t="shared" si="8"/>
        <v>1.922058216403052E-5</v>
      </c>
      <c r="V84" s="12"/>
      <c r="W84" s="13">
        <f t="shared" si="9"/>
        <v>3.9219402293339522E-5</v>
      </c>
    </row>
    <row r="85" spans="15:23" x14ac:dyDescent="0.25">
      <c r="O85" s="1">
        <f t="shared" si="10"/>
        <v>1424</v>
      </c>
      <c r="Q85" s="12">
        <f t="shared" si="6"/>
        <v>4.3356482251898105E-8</v>
      </c>
      <c r="S85" s="13">
        <f t="shared" si="7"/>
        <v>6.1739630726702908E-5</v>
      </c>
      <c r="U85" s="13">
        <f t="shared" si="8"/>
        <v>1.9510417013354147E-5</v>
      </c>
      <c r="V85" s="12"/>
      <c r="W85" s="13">
        <f t="shared" si="9"/>
        <v>3.9769975756381454E-5</v>
      </c>
    </row>
    <row r="86" spans="15:23" x14ac:dyDescent="0.25">
      <c r="O86" s="1">
        <f t="shared" si="10"/>
        <v>1423</v>
      </c>
      <c r="Q86" s="12">
        <f t="shared" si="6"/>
        <v>4.4010298718791938E-8</v>
      </c>
      <c r="S86" s="13">
        <f t="shared" si="7"/>
        <v>6.2626655076840923E-5</v>
      </c>
      <c r="U86" s="13">
        <f t="shared" si="8"/>
        <v>1.9804634423456371E-5</v>
      </c>
      <c r="V86" s="12"/>
      <c r="W86" s="13">
        <f t="shared" si="9"/>
        <v>4.0328260307769769E-5</v>
      </c>
    </row>
    <row r="87" spans="15:23" x14ac:dyDescent="0.25">
      <c r="O87" s="1">
        <f t="shared" si="10"/>
        <v>1422</v>
      </c>
      <c r="Q87" s="12">
        <f t="shared" si="6"/>
        <v>4.4674001601142344E-8</v>
      </c>
      <c r="S87" s="13">
        <f t="shared" si="7"/>
        <v>6.3526430276824412E-5</v>
      </c>
      <c r="U87" s="13">
        <f t="shared" si="8"/>
        <v>2.0103300720514056E-5</v>
      </c>
      <c r="V87" s="12"/>
      <c r="W87" s="13">
        <f t="shared" si="9"/>
        <v>4.0894363353367026E-5</v>
      </c>
    </row>
    <row r="88" spans="15:23" x14ac:dyDescent="0.25">
      <c r="O88" s="1">
        <f t="shared" si="10"/>
        <v>1421</v>
      </c>
      <c r="Q88" s="12">
        <f t="shared" si="6"/>
        <v>4.5347740517924767E-8</v>
      </c>
      <c r="S88" s="13">
        <f t="shared" si="7"/>
        <v>6.4439139275971098E-5</v>
      </c>
      <c r="U88" s="13">
        <f t="shared" si="8"/>
        <v>2.0406483233066145E-5</v>
      </c>
      <c r="V88" s="12"/>
      <c r="W88" s="13">
        <f t="shared" si="9"/>
        <v>4.1468393780722036E-5</v>
      </c>
    </row>
    <row r="89" spans="15:23" x14ac:dyDescent="0.25">
      <c r="O89" s="1">
        <f t="shared" si="10"/>
        <v>1420</v>
      </c>
      <c r="Q89" s="12">
        <f t="shared" si="6"/>
        <v>4.6031667349103558E-8</v>
      </c>
      <c r="S89" s="13">
        <f t="shared" si="7"/>
        <v>6.5364967635727058E-5</v>
      </c>
      <c r="U89" s="13">
        <f t="shared" si="8"/>
        <v>2.0714250307096602E-5</v>
      </c>
      <c r="V89" s="12"/>
      <c r="W89" s="13">
        <f t="shared" si="9"/>
        <v>4.2050461979199794E-5</v>
      </c>
    </row>
    <row r="90" spans="15:23" x14ac:dyDescent="0.25">
      <c r="O90" s="1">
        <f t="shared" si="10"/>
        <v>1419</v>
      </c>
      <c r="Q90" s="12">
        <f t="shared" si="6"/>
        <v>4.6725936269651215E-8</v>
      </c>
      <c r="S90" s="13">
        <f t="shared" si="7"/>
        <v>6.630410356663508E-5</v>
      </c>
      <c r="U90" s="13">
        <f t="shared" si="8"/>
        <v>2.1026671321343047E-5</v>
      </c>
      <c r="V90" s="12"/>
      <c r="W90" s="13">
        <f t="shared" si="9"/>
        <v>4.2640679860379871E-5</v>
      </c>
    </row>
    <row r="91" spans="15:23" x14ac:dyDescent="0.25">
      <c r="O91" s="1">
        <f t="shared" si="10"/>
        <v>1418</v>
      </c>
      <c r="Q91" s="12">
        <f t="shared" si="6"/>
        <v>4.743070378407155E-8</v>
      </c>
      <c r="S91" s="13">
        <f t="shared" si="7"/>
        <v>6.7256737965813452E-5</v>
      </c>
      <c r="U91" s="13">
        <f t="shared" si="8"/>
        <v>2.1343816702832196E-5</v>
      </c>
      <c r="V91" s="12"/>
      <c r="W91" s="13">
        <f t="shared" si="9"/>
        <v>4.3239160878721881E-5</v>
      </c>
    </row>
    <row r="92" spans="15:23" x14ac:dyDescent="0.25">
      <c r="O92" s="1">
        <f t="shared" si="10"/>
        <v>1417</v>
      </c>
      <c r="Q92" s="12">
        <f t="shared" si="6"/>
        <v>4.8146128761443591E-8</v>
      </c>
      <c r="S92" s="13">
        <f t="shared" si="7"/>
        <v>6.8223064454965562E-5</v>
      </c>
      <c r="U92" s="13">
        <f t="shared" si="8"/>
        <v>2.1665757942649615E-5</v>
      </c>
      <c r="V92" s="12"/>
      <c r="W92" s="13">
        <f t="shared" si="9"/>
        <v>4.3846020052510128E-5</v>
      </c>
    </row>
    <row r="93" spans="15:23" x14ac:dyDescent="0.25">
      <c r="O93" s="1">
        <f t="shared" si="10"/>
        <v>1416</v>
      </c>
      <c r="Q93" s="12">
        <f t="shared" si="6"/>
        <v>4.8872372470986353E-8</v>
      </c>
      <c r="S93" s="13">
        <f t="shared" si="7"/>
        <v>6.9203279418916669E-5</v>
      </c>
      <c r="U93" s="13">
        <f t="shared" si="8"/>
        <v>2.1992567611943859E-5</v>
      </c>
      <c r="V93" s="12"/>
      <c r="W93" s="13">
        <f t="shared" si="9"/>
        <v>4.4461373985074131E-5</v>
      </c>
    </row>
    <row r="94" spans="15:23" x14ac:dyDescent="0.25">
      <c r="O94" s="1">
        <f t="shared" si="10"/>
        <v>1415</v>
      </c>
      <c r="Q94" s="12">
        <f t="shared" si="6"/>
        <v>4.9609598618149348E-8</v>
      </c>
      <c r="S94" s="13">
        <f t="shared" si="7"/>
        <v>7.0197582044681324E-5</v>
      </c>
      <c r="U94" s="13">
        <f t="shared" si="8"/>
        <v>2.2324319378167208E-5</v>
      </c>
      <c r="V94" s="12"/>
      <c r="W94" s="13">
        <f t="shared" si="9"/>
        <v>4.5085340886285894E-5</v>
      </c>
    </row>
    <row r="95" spans="15:23" x14ac:dyDescent="0.25">
      <c r="O95" s="1">
        <f t="shared" si="10"/>
        <v>1414</v>
      </c>
      <c r="Q95" s="12">
        <f t="shared" si="6"/>
        <v>5.0357973381251344E-8</v>
      </c>
      <c r="S95" s="13">
        <f t="shared" si="7"/>
        <v>7.1206174361089405E-5</v>
      </c>
      <c r="U95" s="13">
        <f t="shared" si="8"/>
        <v>2.2661088021563104E-5</v>
      </c>
      <c r="V95" s="12"/>
      <c r="W95" s="13">
        <f t="shared" si="9"/>
        <v>4.5718040594351067E-5</v>
      </c>
    </row>
    <row r="96" spans="15:23" x14ac:dyDescent="0.25">
      <c r="O96" s="1">
        <f t="shared" si="10"/>
        <v>1413</v>
      </c>
      <c r="Q96" s="12">
        <f t="shared" si="6"/>
        <v>5.1117665448650777E-8</v>
      </c>
      <c r="S96" s="13">
        <f t="shared" si="7"/>
        <v>7.2229261278943552E-5</v>
      </c>
      <c r="U96" s="13">
        <f t="shared" si="8"/>
        <v>2.300294945189285E-5</v>
      </c>
      <c r="V96" s="12"/>
      <c r="W96" s="13">
        <f t="shared" si="9"/>
        <v>4.6359594597875197E-5</v>
      </c>
    </row>
    <row r="97" spans="15:23" x14ac:dyDescent="0.25">
      <c r="O97" s="1">
        <f t="shared" si="10"/>
        <v>1412</v>
      </c>
      <c r="Q97" s="12">
        <f t="shared" si="6"/>
        <v>5.1888846056489368E-8</v>
      </c>
      <c r="S97" s="13">
        <f t="shared" si="7"/>
        <v>7.3267050631762985E-5</v>
      </c>
      <c r="U97" s="13">
        <f t="shared" si="8"/>
        <v>2.3349980725420216E-5</v>
      </c>
      <c r="V97" s="12"/>
      <c r="W97" s="13">
        <f t="shared" si="9"/>
        <v>4.7010126058239238E-5</v>
      </c>
    </row>
    <row r="98" spans="15:23" x14ac:dyDescent="0.25">
      <c r="O98" s="1">
        <f t="shared" si="10"/>
        <v>1411</v>
      </c>
      <c r="Q98" s="12">
        <f t="shared" si="6"/>
        <v>5.2671689026977199E-8</v>
      </c>
      <c r="S98" s="13">
        <f t="shared" si="7"/>
        <v>7.4319753217064828E-5</v>
      </c>
      <c r="U98" s="13">
        <f t="shared" si="8"/>
        <v>2.3702260062139739E-5</v>
      </c>
      <c r="V98" s="12"/>
      <c r="W98" s="13">
        <f t="shared" si="9"/>
        <v>4.7669759832251934E-5</v>
      </c>
    </row>
    <row r="99" spans="15:23" x14ac:dyDescent="0.25">
      <c r="O99" s="1">
        <f t="shared" si="10"/>
        <v>1410</v>
      </c>
      <c r="Q99" s="12">
        <f t="shared" si="6"/>
        <v>5.3466370807267168E-8</v>
      </c>
      <c r="S99" s="13">
        <f t="shared" si="7"/>
        <v>7.5387582838246702E-5</v>
      </c>
      <c r="U99" s="13">
        <f t="shared" si="8"/>
        <v>2.4059866863270227E-5</v>
      </c>
      <c r="V99" s="12"/>
      <c r="W99" s="13">
        <f t="shared" si="9"/>
        <v>4.8338622495118512E-5</v>
      </c>
    </row>
    <row r="100" spans="15:23" x14ac:dyDescent="0.25">
      <c r="O100" s="1">
        <f t="shared" si="10"/>
        <v>1409</v>
      </c>
      <c r="Q100" s="12">
        <f t="shared" si="6"/>
        <v>5.4273070508895398E-8</v>
      </c>
      <c r="S100" s="13">
        <f t="shared" si="7"/>
        <v>7.6470756347033619E-5</v>
      </c>
      <c r="U100" s="13">
        <f t="shared" si="8"/>
        <v>2.4422881729002929E-5</v>
      </c>
      <c r="V100" s="12"/>
      <c r="W100" s="13">
        <f t="shared" si="9"/>
        <v>4.9016842363701131E-5</v>
      </c>
    </row>
    <row r="101" spans="15:23" x14ac:dyDescent="0.25">
      <c r="O101" s="1">
        <f t="shared" si="10"/>
        <v>1408</v>
      </c>
      <c r="Q101" s="12">
        <f t="shared" si="6"/>
        <v>5.5091969947811777E-8</v>
      </c>
      <c r="S101" s="13">
        <f t="shared" si="7"/>
        <v>7.7569493686518981E-5</v>
      </c>
      <c r="U101" s="13">
        <f t="shared" si="8"/>
        <v>2.4791386476515301E-5</v>
      </c>
      <c r="V101" s="12"/>
      <c r="W101" s="13">
        <f t="shared" si="9"/>
        <v>4.9704549520088589E-5</v>
      </c>
    </row>
    <row r="102" spans="15:23" x14ac:dyDescent="0.25">
      <c r="O102" s="1">
        <f t="shared" si="10"/>
        <v>1407</v>
      </c>
      <c r="Q102" s="12">
        <f t="shared" si="6"/>
        <v>5.5923253685015213E-8</v>
      </c>
      <c r="S102" s="13">
        <f t="shared" si="7"/>
        <v>7.86840179348164E-5</v>
      </c>
      <c r="U102" s="13">
        <f t="shared" si="8"/>
        <v>2.5165464158256847E-5</v>
      </c>
      <c r="V102" s="12"/>
      <c r="W102" s="13">
        <f t="shared" si="9"/>
        <v>5.0401875835485138E-5</v>
      </c>
    </row>
    <row r="103" spans="15:23" x14ac:dyDescent="0.25">
      <c r="O103" s="1">
        <f t="shared" si="10"/>
        <v>1406</v>
      </c>
      <c r="Q103" s="12">
        <f t="shared" si="6"/>
        <v>5.6767109067782541E-8</v>
      </c>
      <c r="S103" s="13">
        <f t="shared" si="7"/>
        <v>7.9814555349302249E-5</v>
      </c>
      <c r="U103" s="13">
        <f t="shared" si="8"/>
        <v>2.5545199080502145E-5</v>
      </c>
      <c r="V103" s="12"/>
      <c r="W103" s="13">
        <f t="shared" si="9"/>
        <v>5.1108954994403957E-5</v>
      </c>
    </row>
    <row r="104" spans="15:23" x14ac:dyDescent="0.25">
      <c r="O104" s="1">
        <f t="shared" si="10"/>
        <v>1405</v>
      </c>
      <c r="Q104" s="12">
        <f t="shared" si="6"/>
        <v>5.7623726271517529E-8</v>
      </c>
      <c r="S104" s="13">
        <f t="shared" si="7"/>
        <v>8.096133541148213E-5</v>
      </c>
      <c r="U104" s="13">
        <f t="shared" si="8"/>
        <v>2.5930676822182888E-5</v>
      </c>
      <c r="V104" s="12"/>
      <c r="W104" s="13">
        <f t="shared" si="9"/>
        <v>5.1825922519185438E-5</v>
      </c>
    </row>
    <row r="105" spans="15:23" x14ac:dyDescent="0.25">
      <c r="O105" s="1">
        <f t="shared" si="10"/>
        <v>1404</v>
      </c>
      <c r="Q105" s="12">
        <f t="shared" si="6"/>
        <v>5.8493298342216864E-8</v>
      </c>
      <c r="S105" s="13">
        <f t="shared" si="7"/>
        <v>8.212459087247248E-5</v>
      </c>
      <c r="U105" s="13">
        <f t="shared" si="8"/>
        <v>2.6321984253997587E-5</v>
      </c>
      <c r="V105" s="12"/>
      <c r="W105" s="13">
        <f t="shared" si="9"/>
        <v>5.2552915794833319E-5</v>
      </c>
    </row>
    <row r="106" spans="15:23" x14ac:dyDescent="0.25">
      <c r="O106" s="1">
        <f t="shared" si="10"/>
        <v>1403</v>
      </c>
      <c r="Q106" s="12">
        <f t="shared" si="6"/>
        <v>5.9376021239578907E-8</v>
      </c>
      <c r="S106" s="13">
        <f t="shared" si="7"/>
        <v>8.3304557799129207E-5</v>
      </c>
      <c r="U106" s="13">
        <f t="shared" si="8"/>
        <v>2.6719209557810509E-5</v>
      </c>
      <c r="V106" s="12"/>
      <c r="W106" s="13">
        <f t="shared" si="9"/>
        <v>5.3290074094187789E-5</v>
      </c>
    </row>
    <row r="107" spans="15:23" x14ac:dyDescent="0.25">
      <c r="O107" s="1">
        <f t="shared" si="10"/>
        <v>1402</v>
      </c>
      <c r="Q107" s="12">
        <f t="shared" si="6"/>
        <v>6.0272093880742349E-8</v>
      </c>
      <c r="S107" s="13">
        <f t="shared" si="7"/>
        <v>8.450147562080077E-5</v>
      </c>
      <c r="U107" s="13">
        <f t="shared" si="8"/>
        <v>2.7122442246334059E-5</v>
      </c>
      <c r="V107" s="12"/>
      <c r="W107" s="13">
        <f t="shared" si="9"/>
        <v>5.4037538603419681E-5</v>
      </c>
    </row>
    <row r="108" spans="15:23" x14ac:dyDescent="0.25">
      <c r="O108" s="1">
        <f t="shared" si="10"/>
        <v>1401</v>
      </c>
      <c r="Q108" s="12">
        <f t="shared" si="6"/>
        <v>6.1181718184680375E-8</v>
      </c>
      <c r="S108" s="13">
        <f t="shared" si="7"/>
        <v>8.5715587176737206E-5</v>
      </c>
      <c r="U108" s="13">
        <f t="shared" si="8"/>
        <v>2.7531773183106167E-5</v>
      </c>
      <c r="V108" s="12"/>
      <c r="W108" s="13">
        <f t="shared" si="9"/>
        <v>5.4795452447864622E-5</v>
      </c>
    </row>
    <row r="109" spans="15:23" x14ac:dyDescent="0.25">
      <c r="O109" s="1">
        <f t="shared" si="10"/>
        <v>1400</v>
      </c>
      <c r="Q109" s="12">
        <f t="shared" si="6"/>
        <v>6.2105099117253118E-8</v>
      </c>
      <c r="S109" s="13">
        <f t="shared" si="7"/>
        <v>8.6947138764154362E-5</v>
      </c>
      <c r="U109" s="13">
        <f t="shared" si="8"/>
        <v>2.7947294602763902E-5</v>
      </c>
      <c r="V109" s="12"/>
      <c r="W109" s="13">
        <f t="shared" si="9"/>
        <v>5.5563960718195241E-5</v>
      </c>
    </row>
    <row r="110" spans="15:23" x14ac:dyDescent="0.25">
      <c r="O110" s="1">
        <f t="shared" si="10"/>
        <v>1399</v>
      </c>
      <c r="Q110" s="12">
        <f t="shared" si="6"/>
        <v>6.3042444736934942E-8</v>
      </c>
      <c r="S110" s="13">
        <f t="shared" si="7"/>
        <v>8.8196380186971986E-5</v>
      </c>
      <c r="U110" s="13">
        <f t="shared" si="8"/>
        <v>2.8369100131620723E-5</v>
      </c>
      <c r="V110" s="12"/>
      <c r="W110" s="13">
        <f t="shared" si="9"/>
        <v>5.6343210496942108E-5</v>
      </c>
    </row>
    <row r="111" spans="15:23" x14ac:dyDescent="0.25">
      <c r="O111" s="1">
        <f t="shared" si="10"/>
        <v>1398</v>
      </c>
      <c r="Q111" s="12">
        <f t="shared" si="6"/>
        <v>6.3993966241215283E-8</v>
      </c>
      <c r="S111" s="13">
        <f t="shared" si="7"/>
        <v>8.9463564805218959E-5</v>
      </c>
      <c r="U111" s="13">
        <f t="shared" si="8"/>
        <v>2.8797284808546876E-5</v>
      </c>
      <c r="V111" s="12"/>
      <c r="W111" s="13">
        <f t="shared" si="9"/>
        <v>5.713335088535732E-5</v>
      </c>
    </row>
    <row r="112" spans="15:23" x14ac:dyDescent="0.25">
      <c r="O112" s="1">
        <f t="shared" si="10"/>
        <v>1397</v>
      </c>
      <c r="Q112" s="12">
        <f t="shared" si="6"/>
        <v>6.4959878013688438E-8</v>
      </c>
      <c r="S112" s="13">
        <f t="shared" si="7"/>
        <v>9.0748949585122752E-5</v>
      </c>
      <c r="U112" s="13">
        <f t="shared" si="8"/>
        <v>2.9231945106159798E-5</v>
      </c>
      <c r="V112" s="12"/>
      <c r="W112" s="13">
        <f t="shared" si="9"/>
        <v>5.7934533030630679E-5</v>
      </c>
    </row>
    <row r="113" spans="15:23" x14ac:dyDescent="0.25">
      <c r="O113" s="1">
        <f t="shared" si="10"/>
        <v>1396</v>
      </c>
      <c r="Q113" s="12">
        <f t="shared" si="6"/>
        <v>6.5940397671850418E-8</v>
      </c>
      <c r="S113" s="13">
        <f t="shared" si="7"/>
        <v>9.2052795149903189E-5</v>
      </c>
      <c r="U113" s="13">
        <f t="shared" si="8"/>
        <v>2.9673178952332687E-5</v>
      </c>
      <c r="V113" s="12"/>
      <c r="W113" s="13">
        <f t="shared" si="9"/>
        <v>5.8746910153469433E-5</v>
      </c>
    </row>
    <row r="114" spans="15:23" x14ac:dyDescent="0.25">
      <c r="O114" s="1">
        <f t="shared" si="10"/>
        <v>1395</v>
      </c>
      <c r="Q114" s="12">
        <f t="shared" si="6"/>
        <v>6.6935746115597541E-8</v>
      </c>
      <c r="S114" s="13">
        <f t="shared" si="7"/>
        <v>9.3375365831258563E-5</v>
      </c>
      <c r="U114" s="13">
        <f t="shared" si="8"/>
        <v>3.0121085752018894E-5</v>
      </c>
      <c r="V114" s="12"/>
      <c r="W114" s="13">
        <f t="shared" si="9"/>
        <v>5.9570637576032579E-5</v>
      </c>
    </row>
    <row r="115" spans="15:23" x14ac:dyDescent="0.25">
      <c r="O115" s="1">
        <f t="shared" si="10"/>
        <v>1394</v>
      </c>
      <c r="Q115" s="12">
        <f t="shared" si="6"/>
        <v>6.7946147576448374E-8</v>
      </c>
      <c r="S115" s="13">
        <f t="shared" si="7"/>
        <v>9.4716929721569038E-5</v>
      </c>
      <c r="U115" s="13">
        <f t="shared" si="8"/>
        <v>3.0575766409401767E-5</v>
      </c>
      <c r="V115" s="12"/>
      <c r="W115" s="13">
        <f t="shared" si="9"/>
        <v>6.0405872750234328E-5</v>
      </c>
    </row>
    <row r="116" spans="15:23" x14ac:dyDescent="0.25">
      <c r="O116" s="1">
        <f t="shared" si="10"/>
        <v>1393</v>
      </c>
      <c r="Q116" s="12">
        <f t="shared" si="6"/>
        <v>6.8971829667500958E-8</v>
      </c>
      <c r="S116" s="13">
        <f t="shared" si="7"/>
        <v>9.6077758726828837E-5</v>
      </c>
      <c r="U116" s="13">
        <f t="shared" si="8"/>
        <v>3.1037323350375434E-5</v>
      </c>
      <c r="V116" s="12"/>
      <c r="W116" s="13">
        <f t="shared" si="9"/>
        <v>6.1252775286422113E-5</v>
      </c>
    </row>
    <row r="117" spans="15:23" x14ac:dyDescent="0.25">
      <c r="O117" s="1">
        <f t="shared" si="10"/>
        <v>1392</v>
      </c>
      <c r="Q117" s="12">
        <f t="shared" si="6"/>
        <v>7.0013023434118385E-8</v>
      </c>
      <c r="S117" s="13">
        <f t="shared" si="7"/>
        <v>9.7458128620292789E-5</v>
      </c>
      <c r="U117" s="13">
        <f t="shared" si="8"/>
        <v>3.1505860545353276E-5</v>
      </c>
      <c r="V117" s="12"/>
      <c r="W117" s="13">
        <f t="shared" si="9"/>
        <v>6.2111506982418736E-5</v>
      </c>
    </row>
    <row r="118" spans="15:23" x14ac:dyDescent="0.25">
      <c r="O118" s="1">
        <f t="shared" si="10"/>
        <v>1391</v>
      </c>
      <c r="Q118" s="12">
        <f t="shared" si="6"/>
        <v>7.1069963405386579E-8</v>
      </c>
      <c r="S118" s="13">
        <f t="shared" si="7"/>
        <v>9.8858319096892729E-5</v>
      </c>
      <c r="U118" s="13">
        <f t="shared" si="8"/>
        <v>3.1981483532423957E-5</v>
      </c>
      <c r="V118" s="12"/>
      <c r="W118" s="13">
        <f t="shared" si="9"/>
        <v>6.2982231852962435E-5</v>
      </c>
    </row>
    <row r="119" spans="15:23" x14ac:dyDescent="0.25">
      <c r="O119" s="1">
        <f t="shared" si="10"/>
        <v>1390</v>
      </c>
      <c r="Q119" s="12">
        <f t="shared" si="6"/>
        <v>7.2142887646311933E-8</v>
      </c>
      <c r="S119" s="13">
        <f t="shared" si="7"/>
        <v>1.0027861382837359E-4</v>
      </c>
      <c r="U119" s="13">
        <f t="shared" si="8"/>
        <v>3.2464299440840368E-5</v>
      </c>
      <c r="V119" s="12"/>
      <c r="W119" s="13">
        <f t="shared" si="9"/>
        <v>6.3865116159510842E-5</v>
      </c>
    </row>
    <row r="120" spans="15:23" x14ac:dyDescent="0.25">
      <c r="O120" s="1">
        <f t="shared" si="10"/>
        <v>1389</v>
      </c>
      <c r="Q120" s="12">
        <f t="shared" si="6"/>
        <v>7.3232037810813519E-8</v>
      </c>
      <c r="S120" s="13">
        <f t="shared" si="7"/>
        <v>1.0171930051921998E-4</v>
      </c>
      <c r="U120" s="13">
        <f t="shared" si="8"/>
        <v>3.2954417014866083E-5</v>
      </c>
      <c r="V120" s="12"/>
      <c r="W120" s="13">
        <f t="shared" si="9"/>
        <v>6.4760328440453054E-5</v>
      </c>
    </row>
    <row r="121" spans="15:23" x14ac:dyDescent="0.25">
      <c r="O121" s="1">
        <f t="shared" si="10"/>
        <v>1388</v>
      </c>
      <c r="Q121" s="12">
        <f t="shared" si="6"/>
        <v>7.4337659195491387E-8</v>
      </c>
      <c r="S121" s="13">
        <f t="shared" si="7"/>
        <v>1.0318067096334204E-4</v>
      </c>
      <c r="U121" s="13">
        <f t="shared" si="8"/>
        <v>3.3451946637971124E-5</v>
      </c>
      <c r="V121" s="12"/>
      <c r="W121" s="13">
        <f t="shared" si="9"/>
        <v>6.5668039541707604E-5</v>
      </c>
    </row>
    <row r="122" spans="15:23" x14ac:dyDescent="0.25">
      <c r="O122" s="1">
        <f t="shared" si="10"/>
        <v>1387</v>
      </c>
      <c r="Q122" s="12">
        <f t="shared" si="6"/>
        <v>7.5460000794190005E-8</v>
      </c>
      <c r="S122" s="13">
        <f t="shared" si="7"/>
        <v>1.0466302110154153E-4</v>
      </c>
      <c r="U122" s="13">
        <f t="shared" si="8"/>
        <v>3.3957000357385501E-5</v>
      </c>
      <c r="V122" s="12"/>
      <c r="W122" s="13">
        <f t="shared" si="9"/>
        <v>6.658842264771833E-5</v>
      </c>
    </row>
    <row r="123" spans="15:23" x14ac:dyDescent="0.25">
      <c r="O123" s="1">
        <f t="shared" si="10"/>
        <v>1386</v>
      </c>
      <c r="Q123" s="12">
        <f t="shared" si="6"/>
        <v>7.6599315353373742E-8</v>
      </c>
      <c r="S123" s="13">
        <f t="shared" si="7"/>
        <v>1.06166651079776E-4</v>
      </c>
      <c r="U123" s="13">
        <f t="shared" si="8"/>
        <v>3.4469691909018183E-5</v>
      </c>
      <c r="V123" s="12"/>
      <c r="W123" s="13">
        <f t="shared" si="9"/>
        <v>6.7521653312857663E-5</v>
      </c>
    </row>
    <row r="124" spans="15:23" x14ac:dyDescent="0.25">
      <c r="O124" s="1">
        <f t="shared" si="10"/>
        <v>1385</v>
      </c>
      <c r="Q124" s="12">
        <f t="shared" si="6"/>
        <v>7.7755859428329331E-8</v>
      </c>
      <c r="S124" s="13">
        <f t="shared" si="7"/>
        <v>1.0769186530823613E-4</v>
      </c>
      <c r="U124" s="13">
        <f t="shared" si="8"/>
        <v>3.4990136742748196E-5</v>
      </c>
      <c r="V124" s="12"/>
      <c r="W124" s="13">
        <f t="shared" si="9"/>
        <v>6.8467909493245398E-5</v>
      </c>
    </row>
    <row r="125" spans="15:23" x14ac:dyDescent="0.25">
      <c r="O125" s="1">
        <f t="shared" si="10"/>
        <v>1384</v>
      </c>
      <c r="Q125" s="12">
        <f t="shared" si="6"/>
        <v>7.8929893440186388E-8</v>
      </c>
      <c r="S125" s="13">
        <f t="shared" si="7"/>
        <v>1.0923897252121796E-4</v>
      </c>
      <c r="U125" s="13">
        <f t="shared" si="8"/>
        <v>3.5518452048083876E-5</v>
      </c>
      <c r="V125" s="12"/>
      <c r="W125" s="13">
        <f t="shared" si="9"/>
        <v>6.9427371578969184E-5</v>
      </c>
    </row>
    <row r="126" spans="15:23" x14ac:dyDescent="0.25">
      <c r="O126" s="1">
        <f t="shared" si="10"/>
        <v>1383</v>
      </c>
      <c r="Q126" s="12">
        <f t="shared" si="6"/>
        <v>8.0121681733791923E-8</v>
      </c>
      <c r="S126" s="13">
        <f t="shared" si="7"/>
        <v>1.1080828583783422E-4</v>
      </c>
      <c r="U126" s="13">
        <f t="shared" si="8"/>
        <v>3.6054756780206363E-5</v>
      </c>
      <c r="V126" s="12"/>
      <c r="W126" s="13">
        <f t="shared" si="9"/>
        <v>7.0400222426733489E-5</v>
      </c>
    </row>
    <row r="127" spans="15:23" x14ac:dyDescent="0.25">
      <c r="O127" s="1">
        <f t="shared" si="10"/>
        <v>1382</v>
      </c>
      <c r="Q127" s="12">
        <f t="shared" si="6"/>
        <v>8.1331492636446144E-8</v>
      </c>
      <c r="S127" s="13">
        <f t="shared" si="7"/>
        <v>1.1240012282356857E-4</v>
      </c>
      <c r="U127" s="13">
        <f t="shared" si="8"/>
        <v>3.6599171686400766E-5</v>
      </c>
      <c r="V127" s="12"/>
      <c r="W127" s="13">
        <f t="shared" si="9"/>
        <v>7.138664739293727E-5</v>
      </c>
    </row>
    <row r="128" spans="15:23" x14ac:dyDescent="0.25">
      <c r="O128" s="1">
        <f t="shared" si="10"/>
        <v>1381</v>
      </c>
      <c r="Q128" s="12">
        <f t="shared" si="6"/>
        <v>8.2559598517493698E-8</v>
      </c>
      <c r="S128" s="13">
        <f t="shared" si="7"/>
        <v>1.1401480555265879E-4</v>
      </c>
      <c r="U128" s="13">
        <f t="shared" si="8"/>
        <v>3.7151819332872162E-5</v>
      </c>
      <c r="V128" s="12"/>
      <c r="W128" s="13">
        <f t="shared" si="9"/>
        <v>7.23868343671699E-5</v>
      </c>
    </row>
    <row r="129" spans="15:23" x14ac:dyDescent="0.25">
      <c r="O129" s="1">
        <f t="shared" si="10"/>
        <v>1380</v>
      </c>
      <c r="Q129" s="12">
        <f t="shared" si="6"/>
        <v>8.380627584880921E-8</v>
      </c>
      <c r="S129" s="13">
        <f t="shared" si="7"/>
        <v>1.156526606713567E-4</v>
      </c>
      <c r="U129" s="13">
        <f t="shared" si="8"/>
        <v>3.7712824131964143E-5</v>
      </c>
      <c r="V129" s="12"/>
      <c r="W129" s="13">
        <f t="shared" si="9"/>
        <v>7.340097380615363E-5</v>
      </c>
    </row>
    <row r="130" spans="15:23" x14ac:dyDescent="0.25">
      <c r="O130" s="1">
        <f t="shared" si="10"/>
        <v>1379</v>
      </c>
      <c r="Q130" s="12">
        <f t="shared" si="6"/>
        <v>8.5071805266169386E-8</v>
      </c>
      <c r="S130" s="13">
        <f t="shared" si="7"/>
        <v>1.1731401946204758E-4</v>
      </c>
      <c r="U130" s="13">
        <f t="shared" si="8"/>
        <v>3.8282312369776222E-5</v>
      </c>
      <c r="V130" s="12"/>
      <c r="W130" s="13">
        <f t="shared" si="9"/>
        <v>7.4429258768119903E-5</v>
      </c>
    </row>
    <row r="131" spans="15:23" x14ac:dyDescent="0.25">
      <c r="O131" s="1">
        <f t="shared" si="10"/>
        <v>1378</v>
      </c>
      <c r="Q131" s="12">
        <f t="shared" si="6"/>
        <v>8.6356471631544732E-8</v>
      </c>
      <c r="S131" s="13">
        <f t="shared" si="7"/>
        <v>1.1899921790826864E-4</v>
      </c>
      <c r="U131" s="13">
        <f t="shared" si="8"/>
        <v>3.8860412234195128E-5</v>
      </c>
      <c r="V131" s="12"/>
      <c r="W131" s="13">
        <f t="shared" si="9"/>
        <v>7.5471884947642587E-5</v>
      </c>
    </row>
    <row r="132" spans="15:23" x14ac:dyDescent="0.25">
      <c r="O132" s="1">
        <f t="shared" si="10"/>
        <v>1377</v>
      </c>
      <c r="Q132" s="12">
        <f t="shared" si="6"/>
        <v>8.7660564096297085E-8</v>
      </c>
      <c r="S132" s="13">
        <f t="shared" si="7"/>
        <v>1.2070859676060108E-4</v>
      </c>
      <c r="U132" s="13">
        <f t="shared" si="8"/>
        <v>3.9447253843333686E-5</v>
      </c>
      <c r="V132" s="12"/>
      <c r="W132" s="13">
        <f t="shared" si="9"/>
        <v>7.6529050710910025E-5</v>
      </c>
    </row>
    <row r="133" spans="15:23" x14ac:dyDescent="0.25">
      <c r="O133" s="1">
        <f t="shared" si="10"/>
        <v>1376</v>
      </c>
      <c r="Q133" s="12">
        <f t="shared" si="6"/>
        <v>8.8984376165316782E-8</v>
      </c>
      <c r="S133" s="13">
        <f t="shared" si="7"/>
        <v>1.2244250160347588E-4</v>
      </c>
      <c r="U133" s="13">
        <f t="shared" si="8"/>
        <v>4.0042969274392553E-5</v>
      </c>
      <c r="V133" s="12"/>
      <c r="W133" s="13">
        <f t="shared" si="9"/>
        <v>7.7600957131459378E-5</v>
      </c>
    </row>
    <row r="134" spans="15:23" x14ac:dyDescent="0.25">
      <c r="O134" s="1">
        <f t="shared" si="10"/>
        <v>1375</v>
      </c>
      <c r="Q134" s="12">
        <f t="shared" si="6"/>
        <v>9.0328205762122635E-8</v>
      </c>
      <c r="S134" s="13">
        <f t="shared" si="7"/>
        <v>1.2420128292291863E-4</v>
      </c>
      <c r="U134" s="13">
        <f t="shared" si="8"/>
        <v>4.0647692592955188E-5</v>
      </c>
      <c r="V134" s="12"/>
      <c r="W134" s="13">
        <f t="shared" si="9"/>
        <v>7.8687808026387405E-5</v>
      </c>
    </row>
    <row r="135" spans="15:23" x14ac:dyDescent="0.25">
      <c r="O135" s="1">
        <f t="shared" si="10"/>
        <v>1374</v>
      </c>
      <c r="Q135" s="12">
        <f t="shared" si="6"/>
        <v>9.1692355294893451E-8</v>
      </c>
      <c r="S135" s="13">
        <f t="shared" si="7"/>
        <v>1.2598529617518359E-4</v>
      </c>
      <c r="U135" s="13">
        <f t="shared" si="8"/>
        <v>4.1261559882702053E-5</v>
      </c>
      <c r="V135" s="12"/>
      <c r="W135" s="13">
        <f t="shared" si="9"/>
        <v>7.9789809993003759E-5</v>
      </c>
    </row>
    <row r="136" spans="15:23" x14ac:dyDescent="0.25">
      <c r="O136" s="1">
        <f t="shared" si="10"/>
        <v>1373</v>
      </c>
      <c r="Q136" s="12">
        <f t="shared" si="6"/>
        <v>9.3077131723507134E-8</v>
      </c>
      <c r="S136" s="13">
        <f t="shared" si="7"/>
        <v>1.2779490185637528E-4</v>
      </c>
      <c r="U136" s="13">
        <f t="shared" si="8"/>
        <v>4.1884709275578212E-5</v>
      </c>
      <c r="V136" s="12"/>
      <c r="W136" s="13">
        <f t="shared" si="9"/>
        <v>8.090717244598733E-5</v>
      </c>
    </row>
    <row r="137" spans="15:23" x14ac:dyDescent="0.25">
      <c r="O137" s="1">
        <f t="shared" si="10"/>
        <v>1372</v>
      </c>
      <c r="Q137" s="12">
        <f t="shared" si="6"/>
        <v>9.4482846627547888E-8</v>
      </c>
      <c r="S137" s="13">
        <f t="shared" si="7"/>
        <v>1.296304655729957E-4</v>
      </c>
      <c r="U137" s="13">
        <f t="shared" si="8"/>
        <v>4.251728098239655E-5</v>
      </c>
      <c r="V137" s="12"/>
      <c r="W137" s="13">
        <f t="shared" si="9"/>
        <v>8.2040107655004168E-5</v>
      </c>
    </row>
    <row r="138" spans="15:23" x14ac:dyDescent="0.25">
      <c r="O138" s="1">
        <f t="shared" si="10"/>
        <v>1371</v>
      </c>
      <c r="Q138" s="12">
        <f t="shared" ref="Q138:Q201" si="11">_xlfn.LOGNORM.DIST(O138,$D$25,$D$26,FALSE)</f>
        <v>9.5909816275324881E-8</v>
      </c>
      <c r="S138" s="13">
        <f t="shared" ref="S138:S201" si="12">IF(O138&gt;$D$6,O138*Q138,0)</f>
        <v>1.3149235811347042E-4</v>
      </c>
      <c r="U138" s="13">
        <f t="shared" ref="U138:U201" si="13">IF(O138&gt;$D$6,$D$6*Q138,0)</f>
        <v>4.3159417323896196E-5</v>
      </c>
      <c r="V138" s="12"/>
      <c r="W138" s="13">
        <f t="shared" ref="W138:W201" si="14">(S138-U138)*EXP(-$D$9*$D$7)</f>
        <v>8.3188830782818425E-5</v>
      </c>
    </row>
    <row r="139" spans="15:23" x14ac:dyDescent="0.25">
      <c r="O139" s="1">
        <f t="shared" ref="O139:O202" si="15">O138-1</f>
        <v>1370</v>
      </c>
      <c r="Q139" s="12">
        <f t="shared" si="11"/>
        <v>9.7358361693909974E-8</v>
      </c>
      <c r="S139" s="13">
        <f t="shared" si="12"/>
        <v>1.3338095552065666E-4</v>
      </c>
      <c r="U139" s="13">
        <f t="shared" si="13"/>
        <v>4.3811262762259486E-5</v>
      </c>
      <c r="V139" s="12"/>
      <c r="W139" s="13">
        <f t="shared" si="14"/>
        <v>8.4353559923896375E-5</v>
      </c>
    </row>
    <row r="140" spans="15:23" x14ac:dyDescent="0.25">
      <c r="O140" s="1">
        <f t="shared" si="15"/>
        <v>1369</v>
      </c>
      <c r="Q140" s="12">
        <f t="shared" si="11"/>
        <v>9.882880874021559E-8</v>
      </c>
      <c r="S140" s="13">
        <f t="shared" si="12"/>
        <v>1.3529663916535514E-4</v>
      </c>
      <c r="U140" s="13">
        <f t="shared" si="13"/>
        <v>4.4472963933097015E-5</v>
      </c>
      <c r="V140" s="12"/>
      <c r="W140" s="13">
        <f t="shared" si="14"/>
        <v>8.5534516143514848E-5</v>
      </c>
    </row>
    <row r="141" spans="15:23" x14ac:dyDescent="0.25">
      <c r="O141" s="1">
        <f t="shared" si="15"/>
        <v>1368</v>
      </c>
      <c r="Q141" s="12">
        <f t="shared" si="11"/>
        <v>1.0032148817309898E-7</v>
      </c>
      <c r="S141" s="13">
        <f t="shared" si="12"/>
        <v>1.3723979582079939E-4</v>
      </c>
      <c r="U141" s="13">
        <f t="shared" si="13"/>
        <v>4.5144669677894539E-5</v>
      </c>
      <c r="V141" s="12"/>
      <c r="W141" s="13">
        <f t="shared" si="14"/>
        <v>8.6731923517355329E-5</v>
      </c>
    </row>
    <row r="142" spans="15:23" x14ac:dyDescent="0.25">
      <c r="O142" s="1">
        <f t="shared" si="15"/>
        <v>1367</v>
      </c>
      <c r="Q142" s="12">
        <f t="shared" si="11"/>
        <v>1.0183673572655902E-7</v>
      </c>
      <c r="S142" s="13">
        <f t="shared" si="12"/>
        <v>1.3921081773820619E-4</v>
      </c>
      <c r="U142" s="13">
        <f t="shared" si="13"/>
        <v>4.5826531076951558E-5</v>
      </c>
      <c r="V142" s="12"/>
      <c r="W142" s="13">
        <f t="shared" si="14"/>
        <v>8.7946009171634238E-5</v>
      </c>
    </row>
    <row r="143" spans="15:23" x14ac:dyDescent="0.25">
      <c r="O143" s="1">
        <f t="shared" si="15"/>
        <v>1366</v>
      </c>
      <c r="Q143" s="12">
        <f t="shared" si="11"/>
        <v>1.0337489218399114E-7</v>
      </c>
      <c r="S143" s="13">
        <f t="shared" si="12"/>
        <v>1.4121010272333189E-4</v>
      </c>
      <c r="U143" s="13">
        <f t="shared" si="13"/>
        <v>4.6518701482796008E-5</v>
      </c>
      <c r="V143" s="12"/>
      <c r="W143" s="13">
        <f t="shared" si="14"/>
        <v>8.9177003323732216E-5</v>
      </c>
    </row>
    <row r="144" spans="15:23" x14ac:dyDescent="0.25">
      <c r="O144" s="1">
        <f t="shared" si="15"/>
        <v>1365</v>
      </c>
      <c r="Q144" s="12">
        <f t="shared" si="11"/>
        <v>1.049363034535471E-7</v>
      </c>
      <c r="S144" s="13">
        <f t="shared" si="12"/>
        <v>1.4323805421409178E-4</v>
      </c>
      <c r="U144" s="13">
        <f t="shared" si="13"/>
        <v>4.7221336554096191E-5</v>
      </c>
      <c r="V144" s="12"/>
      <c r="W144" s="13">
        <f t="shared" si="14"/>
        <v>9.0425139323356253E-5</v>
      </c>
    </row>
    <row r="145" spans="15:23" x14ac:dyDescent="0.25">
      <c r="O145" s="1">
        <f t="shared" si="15"/>
        <v>1364</v>
      </c>
      <c r="Q145" s="12">
        <f t="shared" si="11"/>
        <v>1.0652132064459721E-7</v>
      </c>
      <c r="S145" s="13">
        <f t="shared" si="12"/>
        <v>1.4529508135923059E-4</v>
      </c>
      <c r="U145" s="13">
        <f t="shared" si="13"/>
        <v>4.7934594290068747E-5</v>
      </c>
      <c r="V145" s="12"/>
      <c r="W145" s="13">
        <f t="shared" si="14"/>
        <v>9.1690653694224467E-5</v>
      </c>
    </row>
    <row r="146" spans="15:23" x14ac:dyDescent="0.25">
      <c r="O146" s="1">
        <f t="shared" si="15"/>
        <v>1363</v>
      </c>
      <c r="Q146" s="12">
        <f t="shared" si="11"/>
        <v>1.0813030014532933E-7</v>
      </c>
      <c r="S146" s="13">
        <f t="shared" si="12"/>
        <v>1.4738159909808386E-4</v>
      </c>
      <c r="U146" s="13">
        <f t="shared" si="13"/>
        <v>4.8658635065398199E-5</v>
      </c>
      <c r="V146" s="12"/>
      <c r="W146" s="13">
        <f t="shared" si="14"/>
        <v>9.2973786176296771E-5</v>
      </c>
    </row>
    <row r="147" spans="15:23" x14ac:dyDescent="0.25">
      <c r="O147" s="1">
        <f t="shared" si="15"/>
        <v>1362</v>
      </c>
      <c r="Q147" s="12">
        <f t="shared" si="11"/>
        <v>1.0976360370148171E-7</v>
      </c>
      <c r="S147" s="13">
        <f t="shared" si="12"/>
        <v>1.494980282414181E-4</v>
      </c>
      <c r="U147" s="13">
        <f t="shared" si="13"/>
        <v>4.9393621665666766E-5</v>
      </c>
      <c r="V147" s="12"/>
      <c r="W147" s="13">
        <f t="shared" si="14"/>
        <v>9.4274779768540467E-5</v>
      </c>
    </row>
    <row r="148" spans="15:23" x14ac:dyDescent="0.25">
      <c r="O148" s="1">
        <f t="shared" si="15"/>
        <v>1361</v>
      </c>
      <c r="Q148" s="12">
        <f t="shared" si="11"/>
        <v>1.1142159849623607E-7</v>
      </c>
      <c r="S148" s="13">
        <f t="shared" si="12"/>
        <v>1.5164479555337729E-4</v>
      </c>
      <c r="U148" s="13">
        <f t="shared" si="13"/>
        <v>5.0139719323306231E-5</v>
      </c>
      <c r="V148" s="12"/>
      <c r="W148" s="13">
        <f t="shared" si="14"/>
        <v>9.5593880772246482E-5</v>
      </c>
    </row>
    <row r="149" spans="15:23" x14ac:dyDescent="0.25">
      <c r="O149" s="1">
        <f t="shared" si="15"/>
        <v>1360</v>
      </c>
      <c r="Q149" s="12">
        <f t="shared" si="11"/>
        <v>1.1310465723129445E-7</v>
      </c>
      <c r="S149" s="13">
        <f t="shared" si="12"/>
        <v>1.5382233383456044E-4</v>
      </c>
      <c r="U149" s="13">
        <f t="shared" si="13"/>
        <v>5.0897095754082503E-5</v>
      </c>
      <c r="V149" s="12"/>
      <c r="W149" s="13">
        <f t="shared" si="14"/>
        <v>9.6931338834909062E-5</v>
      </c>
    </row>
    <row r="150" spans="15:23" x14ac:dyDescent="0.25">
      <c r="O150" s="1">
        <f t="shared" si="15"/>
        <v>1359</v>
      </c>
      <c r="Q150" s="12">
        <f t="shared" si="11"/>
        <v>1.1481315820914027E-7</v>
      </c>
      <c r="S150" s="13">
        <f t="shared" si="12"/>
        <v>1.5603108200622163E-4</v>
      </c>
      <c r="U150" s="13">
        <f t="shared" si="13"/>
        <v>5.1665921194113125E-5</v>
      </c>
      <c r="V150" s="12"/>
      <c r="W150" s="13">
        <f t="shared" si="14"/>
        <v>9.8287406994660483E-5</v>
      </c>
    </row>
    <row r="151" spans="15:23" x14ac:dyDescent="0.25">
      <c r="O151" s="1">
        <f t="shared" si="15"/>
        <v>1358</v>
      </c>
      <c r="Q151" s="12">
        <f t="shared" si="11"/>
        <v>1.1654748541651061E-7</v>
      </c>
      <c r="S151" s="13">
        <f t="shared" si="12"/>
        <v>1.5827148519562142E-4</v>
      </c>
      <c r="U151" s="13">
        <f t="shared" si="13"/>
        <v>5.2446368437429775E-5</v>
      </c>
      <c r="V151" s="12"/>
      <c r="W151" s="13">
        <f t="shared" si="14"/>
        <v>9.9662341725277018E-5</v>
      </c>
    </row>
    <row r="152" spans="15:23" x14ac:dyDescent="0.25">
      <c r="O152" s="1">
        <f t="shared" si="15"/>
        <v>1357</v>
      </c>
      <c r="Q152" s="12">
        <f t="shared" si="11"/>
        <v>1.1830802860910543E-7</v>
      </c>
      <c r="S152" s="13">
        <f t="shared" si="12"/>
        <v>1.6054399482255606E-4</v>
      </c>
      <c r="U152" s="13">
        <f t="shared" si="13"/>
        <v>5.3238612874097441E-5</v>
      </c>
      <c r="V152" s="12"/>
      <c r="W152" s="13">
        <f t="shared" si="14"/>
        <v>1.010564029817698E-4</v>
      </c>
    </row>
    <row r="153" spans="15:23" x14ac:dyDescent="0.25">
      <c r="O153" s="1">
        <f t="shared" si="15"/>
        <v>1356</v>
      </c>
      <c r="Q153" s="12">
        <f t="shared" si="11"/>
        <v>1.2009518339752722E-7</v>
      </c>
      <c r="S153" s="13">
        <f t="shared" si="12"/>
        <v>1.6284906868704692E-4</v>
      </c>
      <c r="U153" s="13">
        <f t="shared" si="13"/>
        <v>5.4042832528887248E-5</v>
      </c>
      <c r="V153" s="12"/>
      <c r="W153" s="13">
        <f t="shared" si="14"/>
        <v>1.0246985424654687E-4</v>
      </c>
    </row>
    <row r="154" spans="15:23" x14ac:dyDescent="0.25">
      <c r="O154" s="1">
        <f t="shared" si="15"/>
        <v>1355</v>
      </c>
      <c r="Q154" s="12">
        <f t="shared" si="11"/>
        <v>1.2190935133449023E-7</v>
      </c>
      <c r="S154" s="13">
        <f t="shared" si="12"/>
        <v>1.6518717105823424E-4</v>
      </c>
      <c r="U154" s="13">
        <f t="shared" si="13"/>
        <v>5.4859208100520605E-5</v>
      </c>
      <c r="V154" s="12"/>
      <c r="W154" s="13">
        <f t="shared" si="14"/>
        <v>1.0390296257617145E-4</v>
      </c>
    </row>
    <row r="155" spans="15:23" x14ac:dyDescent="0.25">
      <c r="O155" s="1">
        <f t="shared" si="15"/>
        <v>1354</v>
      </c>
      <c r="Q155" s="12">
        <f t="shared" si="11"/>
        <v>1.2375094000332434E-7</v>
      </c>
      <c r="S155" s="13">
        <f t="shared" si="12"/>
        <v>1.6755877276450115E-4</v>
      </c>
      <c r="U155" s="13">
        <f t="shared" si="13"/>
        <v>5.568792300149595E-5</v>
      </c>
      <c r="V155" s="12"/>
      <c r="W155" s="13">
        <f t="shared" si="14"/>
        <v>1.0535599864873015E-4</v>
      </c>
    </row>
    <row r="156" spans="15:23" x14ac:dyDescent="0.25">
      <c r="O156" s="1">
        <f t="shared" si="15"/>
        <v>1353</v>
      </c>
      <c r="Q156" s="12">
        <f t="shared" si="11"/>
        <v>1.2562036310775141E-7</v>
      </c>
      <c r="S156" s="13">
        <f t="shared" si="12"/>
        <v>1.6996435128478765E-4</v>
      </c>
      <c r="U156" s="13">
        <f t="shared" si="13"/>
        <v>5.6529163398488134E-5</v>
      </c>
      <c r="V156" s="12"/>
      <c r="W156" s="13">
        <f t="shared" si="14"/>
        <v>1.0682923681178248E-4</v>
      </c>
    </row>
    <row r="157" spans="15:23" x14ac:dyDescent="0.25">
      <c r="O157" s="1">
        <f t="shared" si="15"/>
        <v>1352</v>
      </c>
      <c r="Q157" s="12">
        <f t="shared" si="11"/>
        <v>1.2751804056300226E-7</v>
      </c>
      <c r="S157" s="13">
        <f t="shared" si="12"/>
        <v>1.7240439084117905E-4</v>
      </c>
      <c r="U157" s="13">
        <f t="shared" si="13"/>
        <v>5.7383118253351016E-5</v>
      </c>
      <c r="V157" s="12"/>
      <c r="W157" s="13">
        <f t="shared" si="14"/>
        <v>1.0832295513094261E-4</v>
      </c>
    </row>
    <row r="158" spans="15:23" x14ac:dyDescent="0.25">
      <c r="O158" s="1">
        <f t="shared" si="15"/>
        <v>1351</v>
      </c>
      <c r="Q158" s="12">
        <f t="shared" si="11"/>
        <v>1.2944439858827131E-7</v>
      </c>
      <c r="S158" s="13">
        <f t="shared" si="12"/>
        <v>1.7487938249275453E-4</v>
      </c>
      <c r="U158" s="13">
        <f t="shared" si="13"/>
        <v>5.8249979364722089E-5</v>
      </c>
      <c r="V158" s="12"/>
      <c r="W158" s="13">
        <f t="shared" si="14"/>
        <v>1.0983743543908079E-4</v>
      </c>
    </row>
    <row r="159" spans="15:23" x14ac:dyDescent="0.25">
      <c r="O159" s="1">
        <f t="shared" si="15"/>
        <v>1350</v>
      </c>
      <c r="Q159" s="12">
        <f t="shared" si="11"/>
        <v>1.3139986980050567E-7</v>
      </c>
      <c r="S159" s="13">
        <f t="shared" si="12"/>
        <v>1.7738982423068264E-4</v>
      </c>
      <c r="U159" s="13">
        <f t="shared" si="13"/>
        <v>5.9129941410227546E-5</v>
      </c>
      <c r="V159" s="12"/>
      <c r="W159" s="13">
        <f t="shared" si="14"/>
        <v>1.113729633861338E-4</v>
      </c>
    </row>
    <row r="160" spans="15:23" x14ac:dyDescent="0.25">
      <c r="O160" s="1">
        <f t="shared" si="15"/>
        <v>1349</v>
      </c>
      <c r="Q160" s="12">
        <f t="shared" si="11"/>
        <v>1.3338489330959918E-7</v>
      </c>
      <c r="S160" s="13">
        <f t="shared" si="12"/>
        <v>1.7993622107464929E-4</v>
      </c>
      <c r="U160" s="13">
        <f t="shared" si="13"/>
        <v>6.002320198931963E-5</v>
      </c>
      <c r="V160" s="12"/>
      <c r="W160" s="13">
        <f t="shared" si="14"/>
        <v>1.129298284895746E-4</v>
      </c>
    </row>
    <row r="161" spans="15:23" x14ac:dyDescent="0.25">
      <c r="O161" s="1">
        <f t="shared" si="15"/>
        <v>1348</v>
      </c>
      <c r="Q161" s="12">
        <f t="shared" si="11"/>
        <v>1.3539991481495569E-7</v>
      </c>
      <c r="S161" s="13">
        <f t="shared" si="12"/>
        <v>1.8251908517056027E-4</v>
      </c>
      <c r="U161" s="13">
        <f t="shared" si="13"/>
        <v>6.0929961666730059E-5</v>
      </c>
      <c r="V161" s="12"/>
      <c r="W161" s="13">
        <f t="shared" si="14"/>
        <v>1.1450832418550226E-4</v>
      </c>
    </row>
    <row r="162" spans="15:23" x14ac:dyDescent="0.25">
      <c r="O162" s="1">
        <f t="shared" si="15"/>
        <v>1347</v>
      </c>
      <c r="Q162" s="12">
        <f t="shared" si="11"/>
        <v>1.3744538670349691E-7</v>
      </c>
      <c r="S162" s="13">
        <f t="shared" si="12"/>
        <v>1.8513893588961033E-4</v>
      </c>
      <c r="U162" s="13">
        <f t="shared" si="13"/>
        <v>6.1850424016573615E-5</v>
      </c>
      <c r="V162" s="12"/>
      <c r="W162" s="13">
        <f t="shared" si="14"/>
        <v>1.1610874788040655E-4</v>
      </c>
    </row>
    <row r="163" spans="15:23" x14ac:dyDescent="0.25">
      <c r="O163" s="1">
        <f t="shared" si="15"/>
        <v>1346</v>
      </c>
      <c r="Q163" s="12">
        <f t="shared" si="11"/>
        <v>1.3952176814907224E-7</v>
      </c>
      <c r="S163" s="13">
        <f t="shared" si="12"/>
        <v>1.8779629992865123E-4</v>
      </c>
      <c r="U163" s="13">
        <f t="shared" si="13"/>
        <v>6.2784795667082514E-5</v>
      </c>
      <c r="V163" s="12"/>
      <c r="W163" s="13">
        <f t="shared" si="14"/>
        <v>1.1773140100356158E-4</v>
      </c>
    </row>
    <row r="164" spans="15:23" x14ac:dyDescent="0.25">
      <c r="O164" s="1">
        <f t="shared" si="15"/>
        <v>1345</v>
      </c>
      <c r="Q164" s="12">
        <f t="shared" si="11"/>
        <v>1.4162952521336429E-7</v>
      </c>
      <c r="S164" s="13">
        <f t="shared" si="12"/>
        <v>1.9049171141197497E-4</v>
      </c>
      <c r="U164" s="13">
        <f t="shared" si="13"/>
        <v>6.3733286346013938E-5</v>
      </c>
      <c r="V164" s="12"/>
      <c r="W164" s="13">
        <f t="shared" si="14"/>
        <v>1.1937658906011873E-4</v>
      </c>
    </row>
    <row r="165" spans="15:23" x14ac:dyDescent="0.25">
      <c r="O165" s="1">
        <f t="shared" si="15"/>
        <v>1344</v>
      </c>
      <c r="Q165" s="12">
        <f t="shared" si="11"/>
        <v>1.4376913094823289E-7</v>
      </c>
      <c r="S165" s="13">
        <f t="shared" si="12"/>
        <v>1.93225711994425E-4</v>
      </c>
      <c r="U165" s="13">
        <f t="shared" si="13"/>
        <v>6.4696108926704806E-5</v>
      </c>
      <c r="V165" s="12"/>
      <c r="W165" s="13">
        <f t="shared" si="14"/>
        <v>1.2104462168484014E-4</v>
      </c>
    </row>
    <row r="166" spans="15:23" x14ac:dyDescent="0.25">
      <c r="O166" s="1">
        <f t="shared" si="15"/>
        <v>1343</v>
      </c>
      <c r="Q166" s="12">
        <f t="shared" si="11"/>
        <v>1.4594106549958831E-7</v>
      </c>
      <c r="S166" s="13">
        <f t="shared" si="12"/>
        <v>1.9599885096594711E-4</v>
      </c>
      <c r="U166" s="13">
        <f t="shared" si="13"/>
        <v>6.5673479474814744E-5</v>
      </c>
      <c r="V166" s="12"/>
      <c r="W166" s="13">
        <f t="shared" si="14"/>
        <v>1.2273581269654023E-4</v>
      </c>
    </row>
    <row r="167" spans="15:23" x14ac:dyDescent="0.25">
      <c r="O167" s="1">
        <f t="shared" si="15"/>
        <v>1342</v>
      </c>
      <c r="Q167" s="12">
        <f t="shared" si="11"/>
        <v>1.4814581621276862E-7</v>
      </c>
      <c r="S167" s="13">
        <f t="shared" si="12"/>
        <v>1.9881168535753547E-4</v>
      </c>
      <c r="U167" s="13">
        <f t="shared" si="13"/>
        <v>6.6665617295745877E-5</v>
      </c>
      <c r="V167" s="12"/>
      <c r="W167" s="13">
        <f t="shared" si="14"/>
        <v>1.2445048015320364E-4</v>
      </c>
    </row>
    <row r="168" spans="15:23" x14ac:dyDescent="0.25">
      <c r="O168" s="1">
        <f t="shared" si="15"/>
        <v>1341</v>
      </c>
      <c r="Q168" s="12">
        <f t="shared" si="11"/>
        <v>1.5038387773946671E-7</v>
      </c>
      <c r="S168" s="13">
        <f t="shared" si="12"/>
        <v>2.0166478004862484E-4</v>
      </c>
      <c r="U168" s="13">
        <f t="shared" si="13"/>
        <v>6.7672744982760023E-5</v>
      </c>
      <c r="V168" s="12"/>
      <c r="W168" s="13">
        <f t="shared" si="14"/>
        <v>1.2618894640780846E-4</v>
      </c>
    </row>
    <row r="169" spans="15:23" x14ac:dyDescent="0.25">
      <c r="O169" s="1">
        <f t="shared" si="15"/>
        <v>1340</v>
      </c>
      <c r="Q169" s="12">
        <f t="shared" si="11"/>
        <v>1.5265575214621201E-7</v>
      </c>
      <c r="S169" s="13">
        <f t="shared" si="12"/>
        <v>2.0455870787592409E-4</v>
      </c>
      <c r="U169" s="13">
        <f t="shared" si="13"/>
        <v>6.8695088465795404E-5</v>
      </c>
      <c r="V169" s="12"/>
      <c r="W169" s="13">
        <f t="shared" si="14"/>
        <v>1.2795153816484771E-4</v>
      </c>
    </row>
    <row r="170" spans="15:23" x14ac:dyDescent="0.25">
      <c r="O170" s="1">
        <f t="shared" si="15"/>
        <v>1339</v>
      </c>
      <c r="Q170" s="12">
        <f t="shared" si="11"/>
        <v>1.5496194902445509E-7</v>
      </c>
      <c r="S170" s="13">
        <f t="shared" si="12"/>
        <v>2.0749404974374538E-4</v>
      </c>
      <c r="U170" s="13">
        <f t="shared" si="13"/>
        <v>6.9732877061004798E-5</v>
      </c>
      <c r="V170" s="12"/>
      <c r="W170" s="13">
        <f t="shared" si="14"/>
        <v>1.2973858653758034E-4</v>
      </c>
    </row>
    <row r="171" spans="15:23" x14ac:dyDescent="0.25">
      <c r="O171" s="1">
        <f t="shared" si="15"/>
        <v>1338</v>
      </c>
      <c r="Q171" s="12">
        <f t="shared" si="11"/>
        <v>1.5730298560224017E-7</v>
      </c>
      <c r="S171" s="13">
        <f t="shared" si="12"/>
        <v>2.1047139473579735E-4</v>
      </c>
      <c r="U171" s="13">
        <f t="shared" si="13"/>
        <v>7.0786343521008076E-5</v>
      </c>
      <c r="V171" s="12"/>
      <c r="W171" s="13">
        <f t="shared" si="14"/>
        <v>1.3155042710598789E-4</v>
      </c>
    </row>
    <row r="172" spans="15:23" x14ac:dyDescent="0.25">
      <c r="O172" s="1">
        <f t="shared" si="15"/>
        <v>1337</v>
      </c>
      <c r="Q172" s="12">
        <f t="shared" si="11"/>
        <v>1.5967938685752743E-7</v>
      </c>
      <c r="S172" s="13">
        <f t="shared" si="12"/>
        <v>2.1349134022851418E-4</v>
      </c>
      <c r="U172" s="13">
        <f t="shared" si="13"/>
        <v>7.1855724085887341E-5</v>
      </c>
      <c r="V172" s="12"/>
      <c r="W172" s="13">
        <f t="shared" si="14"/>
        <v>1.3338739997547866E-4</v>
      </c>
    </row>
    <row r="173" spans="15:23" x14ac:dyDescent="0.25">
      <c r="O173" s="1">
        <f t="shared" si="15"/>
        <v>1336</v>
      </c>
      <c r="Q173" s="12">
        <f t="shared" si="11"/>
        <v>1.620916856331689E-7</v>
      </c>
      <c r="S173" s="13">
        <f t="shared" si="12"/>
        <v>2.1655449200591364E-4</v>
      </c>
      <c r="U173" s="13">
        <f t="shared" si="13"/>
        <v>7.2941258534926003E-5</v>
      </c>
      <c r="V173" s="12"/>
      <c r="W173" s="13">
        <f t="shared" si="14"/>
        <v>1.352498498363305E-4</v>
      </c>
    </row>
    <row r="174" spans="15:23" x14ac:dyDescent="0.25">
      <c r="O174" s="1">
        <f t="shared" si="15"/>
        <v>1335</v>
      </c>
      <c r="Q174" s="12">
        <f t="shared" si="11"/>
        <v>1.6454042275354029E-7</v>
      </c>
      <c r="S174" s="13">
        <f t="shared" si="12"/>
        <v>2.1966146437597629E-4</v>
      </c>
      <c r="U174" s="13">
        <f t="shared" si="13"/>
        <v>7.4043190239093137E-5</v>
      </c>
      <c r="V174" s="12"/>
      <c r="W174" s="13">
        <f t="shared" si="14"/>
        <v>1.3713812602386501E-4</v>
      </c>
    </row>
    <row r="175" spans="15:23" x14ac:dyDescent="0.25">
      <c r="O175" s="1">
        <f t="shared" si="15"/>
        <v>1334</v>
      </c>
      <c r="Q175" s="12">
        <f t="shared" si="11"/>
        <v>1.6702614714291945E-7</v>
      </c>
      <c r="S175" s="13">
        <f t="shared" si="12"/>
        <v>2.2281288028865455E-4</v>
      </c>
      <c r="U175" s="13">
        <f t="shared" si="13"/>
        <v>7.5161766214313752E-5</v>
      </c>
      <c r="V175" s="12"/>
      <c r="W175" s="13">
        <f t="shared" si="14"/>
        <v>1.3905258257941626E-4</v>
      </c>
    </row>
    <row r="176" spans="15:23" x14ac:dyDescent="0.25">
      <c r="O176" s="1">
        <f t="shared" si="15"/>
        <v>1333</v>
      </c>
      <c r="Q176" s="12">
        <f t="shared" si="11"/>
        <v>1.6954941594553772E-7</v>
      </c>
      <c r="S176" s="13">
        <f t="shared" si="12"/>
        <v>2.2600937145540178E-4</v>
      </c>
      <c r="U176" s="13">
        <f t="shared" si="13"/>
        <v>7.6297237175491979E-5</v>
      </c>
      <c r="V176" s="12"/>
      <c r="W176" s="13">
        <f t="shared" si="14"/>
        <v>1.4099357831202168E-4</v>
      </c>
    </row>
    <row r="177" spans="15:23" x14ac:dyDescent="0.25">
      <c r="O177" s="1">
        <f t="shared" si="15"/>
        <v>1332</v>
      </c>
      <c r="Q177" s="12">
        <f t="shared" si="11"/>
        <v>1.7211079464744185E-7</v>
      </c>
      <c r="S177" s="13">
        <f t="shared" si="12"/>
        <v>2.2925157847039255E-4</v>
      </c>
      <c r="U177" s="13">
        <f t="shared" si="13"/>
        <v>7.744985759134883E-5</v>
      </c>
      <c r="V177" s="12"/>
      <c r="W177" s="13">
        <f t="shared" si="14"/>
        <v>1.4296147686093891E-4</v>
      </c>
    </row>
    <row r="178" spans="15:23" x14ac:dyDescent="0.25">
      <c r="O178" s="1">
        <f t="shared" si="15"/>
        <v>1331</v>
      </c>
      <c r="Q178" s="12">
        <f t="shared" si="11"/>
        <v>1.7471085720007717E-7</v>
      </c>
      <c r="S178" s="13">
        <f t="shared" si="12"/>
        <v>2.3254015093330271E-4</v>
      </c>
      <c r="U178" s="13">
        <f t="shared" si="13"/>
        <v>7.861988574003473E-5</v>
      </c>
      <c r="V178" s="12"/>
      <c r="W178" s="13">
        <f t="shared" si="14"/>
        <v>1.449566467589019E-4</v>
      </c>
    </row>
    <row r="179" spans="15:23" x14ac:dyDescent="0.25">
      <c r="O179" s="1">
        <f t="shared" si="15"/>
        <v>1330</v>
      </c>
      <c r="Q179" s="12">
        <f t="shared" si="11"/>
        <v>1.7735018614571288E-7</v>
      </c>
      <c r="S179" s="13">
        <f t="shared" si="12"/>
        <v>2.3587574757379811E-4</v>
      </c>
      <c r="U179" s="13">
        <f t="shared" si="13"/>
        <v>7.9807583765570799E-5</v>
      </c>
      <c r="V179" s="12"/>
      <c r="W179" s="13">
        <f t="shared" si="14"/>
        <v>1.4697946149620534E-4</v>
      </c>
    </row>
    <row r="180" spans="15:23" x14ac:dyDescent="0.25">
      <c r="O180" s="1">
        <f t="shared" si="15"/>
        <v>1329</v>
      </c>
      <c r="Q180" s="12">
        <f t="shared" si="11"/>
        <v>1.8002937274467312E-7</v>
      </c>
      <c r="S180" s="13">
        <f t="shared" si="12"/>
        <v>2.3925903637767059E-4</v>
      </c>
      <c r="U180" s="13">
        <f t="shared" si="13"/>
        <v>8.1013217735102902E-5</v>
      </c>
      <c r="V180" s="12"/>
      <c r="W180" s="13">
        <f t="shared" si="14"/>
        <v>1.4903029958557537E-4</v>
      </c>
    </row>
    <row r="181" spans="15:23" x14ac:dyDescent="0.25">
      <c r="O181" s="1">
        <f t="shared" si="15"/>
        <v>1328</v>
      </c>
      <c r="Q181" s="12">
        <f t="shared" si="11"/>
        <v>1.8274901710443593E-7</v>
      </c>
      <c r="S181" s="13">
        <f t="shared" si="12"/>
        <v>2.4269069471469091E-4</v>
      </c>
      <c r="U181" s="13">
        <f t="shared" si="13"/>
        <v>8.2237057696996166E-5</v>
      </c>
      <c r="V181" s="12"/>
      <c r="W181" s="13">
        <f t="shared" si="14"/>
        <v>1.5110954462786564E-4</v>
      </c>
    </row>
    <row r="182" spans="15:23" x14ac:dyDescent="0.25">
      <c r="O182" s="1">
        <f t="shared" si="15"/>
        <v>1327</v>
      </c>
      <c r="Q182" s="12">
        <f t="shared" si="11"/>
        <v>1.8550972831059215E-7</v>
      </c>
      <c r="S182" s="13">
        <f t="shared" si="12"/>
        <v>2.4617140946815578E-4</v>
      </c>
      <c r="U182" s="13">
        <f t="shared" si="13"/>
        <v>8.3479377739766473E-5</v>
      </c>
      <c r="V182" s="12"/>
      <c r="W182" s="13">
        <f t="shared" si="14"/>
        <v>1.5321758537856036E-4</v>
      </c>
    </row>
    <row r="183" spans="15:23" x14ac:dyDescent="0.25">
      <c r="O183" s="1">
        <f t="shared" si="15"/>
        <v>1326</v>
      </c>
      <c r="Q183" s="12">
        <f t="shared" si="11"/>
        <v>1.8831212455973499E-7</v>
      </c>
      <c r="S183" s="13">
        <f t="shared" si="12"/>
        <v>2.4970187716620861E-4</v>
      </c>
      <c r="U183" s="13">
        <f t="shared" si="13"/>
        <v>8.474045605188074E-5</v>
      </c>
      <c r="V183" s="12"/>
      <c r="W183" s="13">
        <f t="shared" si="14"/>
        <v>1.553548158151298E-4</v>
      </c>
    </row>
    <row r="184" spans="15:23" x14ac:dyDescent="0.25">
      <c r="O184" s="1">
        <f t="shared" si="15"/>
        <v>1325</v>
      </c>
      <c r="Q184" s="12">
        <f t="shared" si="11"/>
        <v>1.9115683329427362E-7</v>
      </c>
      <c r="S184" s="13">
        <f t="shared" si="12"/>
        <v>2.5328280411491253E-4</v>
      </c>
      <c r="U184" s="13">
        <f t="shared" si="13"/>
        <v>8.6020574982423131E-5</v>
      </c>
      <c r="V184" s="12"/>
      <c r="W184" s="13">
        <f t="shared" si="14"/>
        <v>1.5752163520522063E-4</v>
      </c>
    </row>
    <row r="185" spans="15:23" x14ac:dyDescent="0.25">
      <c r="O185" s="1">
        <f t="shared" si="15"/>
        <v>1324</v>
      </c>
      <c r="Q185" s="12">
        <f t="shared" si="11"/>
        <v>1.9404449133919259E-7</v>
      </c>
      <c r="S185" s="13">
        <f t="shared" si="12"/>
        <v>2.5691490653309101E-4</v>
      </c>
      <c r="U185" s="13">
        <f t="shared" si="13"/>
        <v>8.7320021102636671E-5</v>
      </c>
      <c r="V185" s="12"/>
      <c r="W185" s="13">
        <f t="shared" si="14"/>
        <v>1.5971844817568593E-4</v>
      </c>
    </row>
    <row r="186" spans="15:23" x14ac:dyDescent="0.25">
      <c r="O186" s="1">
        <f t="shared" si="15"/>
        <v>1323</v>
      </c>
      <c r="Q186" s="12">
        <f t="shared" si="11"/>
        <v>1.969757450408263E-7</v>
      </c>
      <c r="S186" s="13">
        <f t="shared" si="12"/>
        <v>2.605989106890132E-4</v>
      </c>
      <c r="U186" s="13">
        <f t="shared" si="13"/>
        <v>8.8639085268371834E-5</v>
      </c>
      <c r="V186" s="12"/>
      <c r="W186" s="13">
        <f t="shared" si="14"/>
        <v>1.6194566478249913E-4</v>
      </c>
    </row>
    <row r="187" spans="15:23" x14ac:dyDescent="0.25">
      <c r="O187" s="1">
        <f t="shared" si="15"/>
        <v>1322</v>
      </c>
      <c r="Q187" s="12">
        <f t="shared" si="11"/>
        <v>1.9995125040763476E-7</v>
      </c>
      <c r="S187" s="13">
        <f t="shared" si="12"/>
        <v>2.6433555303889315E-4</v>
      </c>
      <c r="U187" s="13">
        <f t="shared" si="13"/>
        <v>8.9978062683435643E-5</v>
      </c>
      <c r="V187" s="12"/>
      <c r="W187" s="13">
        <f t="shared" si="14"/>
        <v>1.6420370058152758E-4</v>
      </c>
    </row>
    <row r="188" spans="15:23" x14ac:dyDescent="0.25">
      <c r="O188" s="1">
        <f t="shared" si="15"/>
        <v>1321</v>
      </c>
      <c r="Q188" s="12">
        <f t="shared" si="11"/>
        <v>2.0297167325301526E-7</v>
      </c>
      <c r="S188" s="13">
        <f t="shared" si="12"/>
        <v>2.6812558036723314E-4</v>
      </c>
      <c r="U188" s="13">
        <f t="shared" si="13"/>
        <v>9.1337252963856862E-5</v>
      </c>
      <c r="V188" s="12"/>
      <c r="W188" s="13">
        <f t="shared" si="14"/>
        <v>1.6649297670018012E-4</v>
      </c>
    </row>
    <row r="189" spans="15:23" x14ac:dyDescent="0.25">
      <c r="O189" s="1">
        <f t="shared" si="15"/>
        <v>1320</v>
      </c>
      <c r="Q189" s="12">
        <f t="shared" si="11"/>
        <v>2.0603768934022552E-7</v>
      </c>
      <c r="S189" s="13">
        <f t="shared" si="12"/>
        <v>2.7196974992909766E-4</v>
      </c>
      <c r="U189" s="13">
        <f t="shared" si="13"/>
        <v>9.271696020310149E-5</v>
      </c>
      <c r="V189" s="12"/>
      <c r="W189" s="13">
        <f t="shared" si="14"/>
        <v>1.6881391990997819E-4</v>
      </c>
    </row>
    <row r="190" spans="15:23" x14ac:dyDescent="0.25">
      <c r="O190" s="1">
        <f t="shared" si="15"/>
        <v>1319</v>
      </c>
      <c r="Q190" s="12">
        <f t="shared" si="11"/>
        <v>2.091499845293622E-7</v>
      </c>
      <c r="S190" s="13">
        <f t="shared" si="12"/>
        <v>2.7586882959422873E-4</v>
      </c>
      <c r="U190" s="13">
        <f t="shared" si="13"/>
        <v>9.4117493038212992E-5</v>
      </c>
      <c r="V190" s="12"/>
      <c r="W190" s="13">
        <f t="shared" si="14"/>
        <v>1.7116696269998998E-4</v>
      </c>
    </row>
    <row r="191" spans="15:23" x14ac:dyDescent="0.25">
      <c r="O191" s="1">
        <f t="shared" si="15"/>
        <v>1318</v>
      </c>
      <c r="Q191" s="12">
        <f t="shared" si="11"/>
        <v>2.123092549265137E-7</v>
      </c>
      <c r="S191" s="13">
        <f t="shared" si="12"/>
        <v>2.7982359799314503E-4</v>
      </c>
      <c r="U191" s="13">
        <f t="shared" si="13"/>
        <v>9.5539164716931156E-5</v>
      </c>
      <c r="V191" s="12"/>
      <c r="W191" s="13">
        <f t="shared" si="14"/>
        <v>1.7355254335121116E-4</v>
      </c>
    </row>
    <row r="192" spans="15:23" x14ac:dyDescent="0.25">
      <c r="O192" s="1">
        <f t="shared" si="15"/>
        <v>1317</v>
      </c>
      <c r="Q192" s="12">
        <f t="shared" si="11"/>
        <v>2.1551620703505315E-7</v>
      </c>
      <c r="S192" s="13">
        <f t="shared" si="12"/>
        <v>2.8383484466516502E-4</v>
      </c>
      <c r="U192" s="13">
        <f t="shared" si="13"/>
        <v>9.6982293165773925E-5</v>
      </c>
      <c r="V192" s="12"/>
      <c r="W192" s="13">
        <f t="shared" si="14"/>
        <v>1.7597110601185088E-4</v>
      </c>
    </row>
    <row r="193" spans="15:23" x14ac:dyDescent="0.25">
      <c r="O193" s="1">
        <f t="shared" si="15"/>
        <v>1316</v>
      </c>
      <c r="Q193" s="12">
        <f t="shared" si="11"/>
        <v>2.1877155790912523E-7</v>
      </c>
      <c r="S193" s="13">
        <f t="shared" si="12"/>
        <v>2.8790337020840879E-4</v>
      </c>
      <c r="U193" s="13">
        <f t="shared" si="13"/>
        <v>9.844720105910635E-5</v>
      </c>
      <c r="V193" s="12"/>
      <c r="W193" s="13">
        <f t="shared" si="14"/>
        <v>1.7842310077355132E-4</v>
      </c>
    </row>
    <row r="194" spans="15:23" x14ac:dyDescent="0.25">
      <c r="O194" s="1">
        <f t="shared" si="15"/>
        <v>1315</v>
      </c>
      <c r="Q194" s="12">
        <f t="shared" si="11"/>
        <v>2.220760353093848E-7</v>
      </c>
      <c r="S194" s="13">
        <f t="shared" si="12"/>
        <v>2.9202998643184101E-4</v>
      </c>
      <c r="U194" s="13">
        <f t="shared" si="13"/>
        <v>9.9934215889223161E-5</v>
      </c>
      <c r="V194" s="12"/>
      <c r="W194" s="13">
        <f t="shared" si="14"/>
        <v>1.8090898374857538E-4</v>
      </c>
    </row>
    <row r="195" spans="15:23" x14ac:dyDescent="0.25">
      <c r="O195" s="1">
        <f t="shared" si="15"/>
        <v>1314</v>
      </c>
      <c r="Q195" s="12">
        <f t="shared" si="11"/>
        <v>2.2543037786095978E-7</v>
      </c>
      <c r="S195" s="13">
        <f t="shared" si="12"/>
        <v>2.9621551650930116E-4</v>
      </c>
      <c r="U195" s="13">
        <f t="shared" si="13"/>
        <v>1.0144367003743189E-4</v>
      </c>
      <c r="V195" s="12"/>
      <c r="W195" s="13">
        <f t="shared" si="14"/>
        <v>1.8342921714792286E-4</v>
      </c>
    </row>
    <row r="196" spans="15:23" x14ac:dyDescent="0.25">
      <c r="O196" s="1">
        <f t="shared" si="15"/>
        <v>1313</v>
      </c>
      <c r="Q196" s="12">
        <f t="shared" si="11"/>
        <v>2.2883533521370712E-7</v>
      </c>
      <c r="S196" s="13">
        <f t="shared" si="12"/>
        <v>3.0046079513559745E-4</v>
      </c>
      <c r="U196" s="13">
        <f t="shared" si="13"/>
        <v>1.0297590084616821E-4</v>
      </c>
      <c r="V196" s="12"/>
      <c r="W196" s="13">
        <f t="shared" si="14"/>
        <v>1.8598426936041899E-4</v>
      </c>
    </row>
    <row r="197" spans="15:23" x14ac:dyDescent="0.25">
      <c r="O197" s="1">
        <f t="shared" si="15"/>
        <v>1312</v>
      </c>
      <c r="Q197" s="12">
        <f t="shared" si="11"/>
        <v>2.3229166820481798E-7</v>
      </c>
      <c r="S197" s="13">
        <f t="shared" si="12"/>
        <v>3.0476666868472119E-4</v>
      </c>
      <c r="U197" s="13">
        <f t="shared" si="13"/>
        <v>1.0453125069216809E-4</v>
      </c>
      <c r="V197" s="12"/>
      <c r="W197" s="13">
        <f t="shared" si="14"/>
        <v>1.8857461503280387E-4</v>
      </c>
    </row>
    <row r="198" spans="15:23" x14ac:dyDescent="0.25">
      <c r="O198" s="1">
        <f t="shared" si="15"/>
        <v>1311</v>
      </c>
      <c r="Q198" s="12">
        <f t="shared" si="11"/>
        <v>2.3580014902374039E-7</v>
      </c>
      <c r="S198" s="13">
        <f t="shared" si="12"/>
        <v>3.0913399537012368E-4</v>
      </c>
      <c r="U198" s="13">
        <f t="shared" si="13"/>
        <v>1.0611006706068318E-4</v>
      </c>
      <c r="V198" s="12"/>
      <c r="W198" s="13">
        <f t="shared" si="14"/>
        <v>1.9120073515078219E-4</v>
      </c>
    </row>
    <row r="199" spans="15:23" x14ac:dyDescent="0.25">
      <c r="O199" s="1">
        <f t="shared" si="15"/>
        <v>1310</v>
      </c>
      <c r="Q199" s="12">
        <f t="shared" si="11"/>
        <v>2.3936156137951898E-7</v>
      </c>
      <c r="S199" s="13">
        <f t="shared" si="12"/>
        <v>3.1356364540716987E-4</v>
      </c>
      <c r="U199" s="13">
        <f t="shared" si="13"/>
        <v>1.0771270262078354E-4</v>
      </c>
      <c r="V199" s="12"/>
      <c r="W199" s="13">
        <f t="shared" si="14"/>
        <v>1.9386311712109899E-4</v>
      </c>
    </row>
    <row r="200" spans="15:23" x14ac:dyDescent="0.25">
      <c r="O200" s="1">
        <f t="shared" si="15"/>
        <v>1309</v>
      </c>
      <c r="Q200" s="12">
        <f t="shared" si="11"/>
        <v>2.4297670067051294E-7</v>
      </c>
      <c r="S200" s="13">
        <f t="shared" si="12"/>
        <v>3.1805650117770144E-4</v>
      </c>
      <c r="U200" s="13">
        <f t="shared" si="13"/>
        <v>1.0933951530173083E-4</v>
      </c>
      <c r="V200" s="12"/>
      <c r="W200" s="13">
        <f t="shared" si="14"/>
        <v>1.9656225485459368E-4</v>
      </c>
    </row>
    <row r="201" spans="15:23" x14ac:dyDescent="0.25">
      <c r="O201" s="1">
        <f t="shared" si="15"/>
        <v>1308</v>
      </c>
      <c r="Q201" s="12">
        <f t="shared" si="11"/>
        <v>2.4664637415663246E-7</v>
      </c>
      <c r="S201" s="13">
        <f t="shared" si="12"/>
        <v>3.2261345739687528E-4</v>
      </c>
      <c r="U201" s="13">
        <f t="shared" si="13"/>
        <v>1.109908683704846E-4</v>
      </c>
      <c r="V201" s="12"/>
      <c r="W201" s="13">
        <f t="shared" si="14"/>
        <v>1.9929864885032995E-4</v>
      </c>
    </row>
    <row r="202" spans="15:23" x14ac:dyDescent="0.25">
      <c r="O202" s="1">
        <f t="shared" si="15"/>
        <v>1307</v>
      </c>
      <c r="Q202" s="12">
        <f t="shared" ref="Q202:Q265" si="16">_xlfn.LOGNORM.DIST(O202,$D$25,$D$26,FALSE)</f>
        <v>2.5037140113399006E-7</v>
      </c>
      <c r="S202" s="13">
        <f t="shared" ref="S202:S265" si="17">IF(O202&gt;$D$6,O202*Q202,0)</f>
        <v>3.2723542128212501E-4</v>
      </c>
      <c r="U202" s="13">
        <f t="shared" ref="U202:U265" si="18">IF(O202&gt;$D$6,$D$6*Q202,0)</f>
        <v>1.1266713051029553E-4</v>
      </c>
      <c r="V202" s="12"/>
      <c r="W202" s="13">
        <f t="shared" ref="W202:W265" si="19">(S202-U202)*EXP(-$D$9*$D$7)</f>
        <v>2.0207280628070144E-4</v>
      </c>
    </row>
    <row r="203" spans="15:23" x14ac:dyDescent="0.25">
      <c r="O203" s="1">
        <f t="shared" ref="O203:O266" si="20">O202-1</f>
        <v>1306</v>
      </c>
      <c r="Q203" s="12">
        <f t="shared" si="16"/>
        <v>2.5415261311212555E-7</v>
      </c>
      <c r="S203" s="13">
        <f t="shared" si="17"/>
        <v>3.3192331272443595E-4</v>
      </c>
      <c r="U203" s="13">
        <f t="shared" si="18"/>
        <v>1.1436867590045649E-4</v>
      </c>
      <c r="V203" s="12"/>
      <c r="W203" s="13">
        <f t="shared" si="19"/>
        <v>2.0488524107762564E-4</v>
      </c>
    </row>
    <row r="204" spans="15:23" x14ac:dyDescent="0.25">
      <c r="O204" s="1">
        <f t="shared" si="20"/>
        <v>1305</v>
      </c>
      <c r="Q204" s="12">
        <f t="shared" si="16"/>
        <v>2.5799085399378291E-7</v>
      </c>
      <c r="S204" s="13">
        <f t="shared" si="17"/>
        <v>3.3667806446188671E-4</v>
      </c>
      <c r="U204" s="13">
        <f t="shared" si="18"/>
        <v>1.1609588429720231E-4</v>
      </c>
      <c r="V204" s="12"/>
      <c r="W204" s="13">
        <f t="shared" si="19"/>
        <v>2.0773647401979071E-4</v>
      </c>
    </row>
    <row r="205" spans="15:23" x14ac:dyDescent="0.25">
      <c r="O205" s="1">
        <f t="shared" si="20"/>
        <v>1304</v>
      </c>
      <c r="Q205" s="12">
        <f t="shared" si="16"/>
        <v>2.61886980257265E-7</v>
      </c>
      <c r="S205" s="13">
        <f t="shared" si="17"/>
        <v>3.4150062225547355E-4</v>
      </c>
      <c r="U205" s="13">
        <f t="shared" si="18"/>
        <v>1.1784914111576925E-4</v>
      </c>
      <c r="V205" s="12"/>
      <c r="W205" s="13">
        <f t="shared" si="19"/>
        <v>2.1062703282096002E-4</v>
      </c>
    </row>
    <row r="206" spans="15:23" x14ac:dyDescent="0.25">
      <c r="O206" s="1">
        <f t="shared" si="20"/>
        <v>1303</v>
      </c>
      <c r="Q206" s="12">
        <f t="shared" si="16"/>
        <v>2.6584186114142378E-7</v>
      </c>
      <c r="S206" s="13">
        <f t="shared" si="17"/>
        <v>3.4639194506727518E-4</v>
      </c>
      <c r="U206" s="13">
        <f t="shared" si="18"/>
        <v>1.196288375136407E-4</v>
      </c>
      <c r="V206" s="12"/>
      <c r="W206" s="13">
        <f t="shared" si="19"/>
        <v>2.135574522193634E-4</v>
      </c>
    </row>
    <row r="207" spans="15:23" x14ac:dyDescent="0.25">
      <c r="O207" s="1">
        <f t="shared" si="20"/>
        <v>1302</v>
      </c>
      <c r="Q207" s="12">
        <f t="shared" si="16"/>
        <v>2.6985637883333203E-7</v>
      </c>
      <c r="S207" s="13">
        <f t="shared" si="17"/>
        <v>3.5135300524099828E-4</v>
      </c>
      <c r="U207" s="13">
        <f t="shared" si="18"/>
        <v>1.2143537047499941E-4</v>
      </c>
      <c r="V207" s="12"/>
      <c r="W207" s="13">
        <f t="shared" si="19"/>
        <v>2.1652827406819458E-4</v>
      </c>
    </row>
    <row r="208" spans="15:23" x14ac:dyDescent="0.25">
      <c r="O208" s="1">
        <f t="shared" si="20"/>
        <v>1301</v>
      </c>
      <c r="Q208" s="12">
        <f t="shared" si="16"/>
        <v>2.7393142865864092E-7</v>
      </c>
      <c r="S208" s="13">
        <f t="shared" si="17"/>
        <v>3.5638478868489182E-4</v>
      </c>
      <c r="U208" s="13">
        <f t="shared" si="18"/>
        <v>1.2326914289638842E-4</v>
      </c>
      <c r="V208" s="12"/>
      <c r="W208" s="13">
        <f t="shared" si="19"/>
        <v>2.1954004742720084E-4</v>
      </c>
    </row>
    <row r="209" spans="15:23" x14ac:dyDescent="0.25">
      <c r="O209" s="1">
        <f t="shared" si="20"/>
        <v>1300</v>
      </c>
      <c r="Q209" s="12">
        <f t="shared" si="16"/>
        <v>2.7806791927469752E-7</v>
      </c>
      <c r="S209" s="13">
        <f t="shared" si="17"/>
        <v>3.6148829505710676E-4</v>
      </c>
      <c r="U209" s="13">
        <f t="shared" si="18"/>
        <v>1.2513056367361388E-4</v>
      </c>
      <c r="V209" s="12"/>
      <c r="W209" s="13">
        <f t="shared" si="19"/>
        <v>2.2259332865540632E-4</v>
      </c>
    </row>
    <row r="210" spans="15:23" x14ac:dyDescent="0.25">
      <c r="O210" s="1">
        <f t="shared" si="20"/>
        <v>1299</v>
      </c>
      <c r="Q210" s="12">
        <f t="shared" si="16"/>
        <v>2.8226677286643634E-7</v>
      </c>
      <c r="S210" s="13">
        <f t="shared" si="17"/>
        <v>3.6666453795350081E-4</v>
      </c>
      <c r="U210" s="13">
        <f t="shared" si="18"/>
        <v>1.2702004778989635E-4</v>
      </c>
      <c r="V210" s="12"/>
      <c r="W210" s="13">
        <f t="shared" si="19"/>
        <v>2.2568868150496204E-4</v>
      </c>
    </row>
    <row r="211" spans="15:23" x14ac:dyDescent="0.25">
      <c r="O211" s="1">
        <f t="shared" si="20"/>
        <v>1298</v>
      </c>
      <c r="Q211" s="12">
        <f t="shared" si="16"/>
        <v>2.8652892534509031E-7</v>
      </c>
      <c r="S211" s="13">
        <f t="shared" si="17"/>
        <v>3.7191454509792724E-4</v>
      </c>
      <c r="U211" s="13">
        <f t="shared" si="18"/>
        <v>1.2893801640529064E-4</v>
      </c>
      <c r="V211" s="12"/>
      <c r="W211" s="13">
        <f t="shared" si="19"/>
        <v>2.2882667721614073E-4</v>
      </c>
    </row>
    <row r="212" spans="15:23" x14ac:dyDescent="0.25">
      <c r="O212" s="1">
        <f t="shared" si="20"/>
        <v>1297</v>
      </c>
      <c r="Q212" s="12">
        <f t="shared" si="16"/>
        <v>2.9085532654974464E-7</v>
      </c>
      <c r="S212" s="13">
        <f t="shared" si="17"/>
        <v>3.7723935853501881E-4</v>
      </c>
      <c r="U212" s="13">
        <f t="shared" si="18"/>
        <v>1.308848969473851E-4</v>
      </c>
      <c r="V212" s="12"/>
      <c r="W212" s="13">
        <f t="shared" si="19"/>
        <v>2.3200789461347659E-4</v>
      </c>
    </row>
    <row r="213" spans="15:23" x14ac:dyDescent="0.25">
      <c r="O213" s="1">
        <f t="shared" si="20"/>
        <v>1296</v>
      </c>
      <c r="Q213" s="12">
        <f t="shared" si="16"/>
        <v>2.9524694045183841E-7</v>
      </c>
      <c r="S213" s="13">
        <f t="shared" si="17"/>
        <v>3.8264003482558259E-4</v>
      </c>
      <c r="U213" s="13">
        <f t="shared" si="18"/>
        <v>1.3286112320332727E-4</v>
      </c>
      <c r="V213" s="12"/>
      <c r="W213" s="13">
        <f t="shared" si="19"/>
        <v>2.3523292020311457E-4</v>
      </c>
    </row>
    <row r="214" spans="15:23" x14ac:dyDescent="0.25">
      <c r="O214" s="1">
        <f t="shared" si="20"/>
        <v>1295</v>
      </c>
      <c r="Q214" s="12">
        <f t="shared" si="16"/>
        <v>2.9970474536254606E-7</v>
      </c>
      <c r="S214" s="13">
        <f t="shared" si="17"/>
        <v>3.8811764524449715E-4</v>
      </c>
      <c r="U214" s="13">
        <f t="shared" si="18"/>
        <v>1.3486713541314572E-4</v>
      </c>
      <c r="V214" s="12"/>
      <c r="W214" s="13">
        <f t="shared" si="19"/>
        <v>2.3850234827129584E-4</v>
      </c>
    </row>
    <row r="215" spans="15:23" x14ac:dyDescent="0.25">
      <c r="O215" s="1">
        <f t="shared" si="20"/>
        <v>1294</v>
      </c>
      <c r="Q215" s="12">
        <f t="shared" si="16"/>
        <v>3.0422973414317801E-7</v>
      </c>
      <c r="S215" s="13">
        <f t="shared" si="17"/>
        <v>3.9367327598127232E-4</v>
      </c>
      <c r="U215" s="13">
        <f t="shared" si="18"/>
        <v>1.369033803644301E-4</v>
      </c>
      <c r="V215" s="12"/>
      <c r="W215" s="13">
        <f t="shared" si="19"/>
        <v>2.4181678098407163E-4</v>
      </c>
    </row>
    <row r="216" spans="15:23" x14ac:dyDescent="0.25">
      <c r="O216" s="1">
        <f t="shared" si="20"/>
        <v>1293</v>
      </c>
      <c r="Q216" s="12">
        <f t="shared" si="16"/>
        <v>3.0882291441859354E-7</v>
      </c>
      <c r="S216" s="13">
        <f t="shared" si="17"/>
        <v>3.9930802834324146E-4</v>
      </c>
      <c r="U216" s="13">
        <f t="shared" si="18"/>
        <v>1.3897031148836709E-4</v>
      </c>
      <c r="V216" s="12"/>
      <c r="W216" s="13">
        <f t="shared" si="19"/>
        <v>2.4517682848821895E-4</v>
      </c>
    </row>
    <row r="217" spans="15:23" x14ac:dyDescent="0.25">
      <c r="O217" s="1">
        <f t="shared" si="20"/>
        <v>1292</v>
      </c>
      <c r="Q217" s="12">
        <f t="shared" si="16"/>
        <v>3.134853087936766E-7</v>
      </c>
      <c r="S217" s="13">
        <f t="shared" si="17"/>
        <v>4.0502301896143015E-4</v>
      </c>
      <c r="U217" s="13">
        <f t="shared" si="18"/>
        <v>1.4106838895715446E-4</v>
      </c>
      <c r="V217" s="12"/>
      <c r="W217" s="13">
        <f t="shared" si="19"/>
        <v>2.4858310901337962E-4</v>
      </c>
    </row>
    <row r="218" spans="15:23" x14ac:dyDescent="0.25">
      <c r="O218" s="1">
        <f t="shared" si="20"/>
        <v>1291</v>
      </c>
      <c r="Q218" s="12">
        <f t="shared" si="16"/>
        <v>3.1821795507291799E-7</v>
      </c>
      <c r="S218" s="13">
        <f t="shared" si="17"/>
        <v>4.1081937999913712E-4</v>
      </c>
      <c r="U218" s="13">
        <f t="shared" si="18"/>
        <v>1.4319807978281309E-4</v>
      </c>
      <c r="V218" s="12"/>
      <c r="W218" s="13">
        <f t="shared" si="19"/>
        <v>2.5203624897543659E-4</v>
      </c>
    </row>
    <row r="219" spans="15:23" x14ac:dyDescent="0.25">
      <c r="O219" s="1">
        <f t="shared" si="20"/>
        <v>1290</v>
      </c>
      <c r="Q219" s="12">
        <f t="shared" si="16"/>
        <v>3.2302190648314354E-7</v>
      </c>
      <c r="S219" s="13">
        <f t="shared" si="17"/>
        <v>4.1669825936325517E-4</v>
      </c>
      <c r="U219" s="13">
        <f t="shared" si="18"/>
        <v>1.4535985791741459E-4</v>
      </c>
      <c r="V219" s="12"/>
      <c r="W219" s="13">
        <f t="shared" si="19"/>
        <v>2.5553688308113768E-4</v>
      </c>
    </row>
    <row r="220" spans="15:23" x14ac:dyDescent="0.25">
      <c r="O220" s="1">
        <f t="shared" si="20"/>
        <v>1289</v>
      </c>
      <c r="Q220" s="12">
        <f t="shared" si="16"/>
        <v>3.2789823189944698E-7</v>
      </c>
      <c r="S220" s="13">
        <f t="shared" si="17"/>
        <v>4.2266082091838714E-4</v>
      </c>
      <c r="U220" s="13">
        <f t="shared" si="18"/>
        <v>1.4755420435475113E-4</v>
      </c>
      <c r="V220" s="12"/>
      <c r="W220" s="13">
        <f t="shared" si="19"/>
        <v>2.5908565443399337E-4</v>
      </c>
    </row>
    <row r="221" spans="15:23" x14ac:dyDescent="0.25">
      <c r="O221" s="1">
        <f t="shared" si="20"/>
        <v>1288</v>
      </c>
      <c r="Q221" s="12">
        <f t="shared" si="16"/>
        <v>3.3284801607433992E-7</v>
      </c>
      <c r="S221" s="13">
        <f t="shared" si="17"/>
        <v>4.2870824470374981E-4</v>
      </c>
      <c r="U221" s="13">
        <f t="shared" si="18"/>
        <v>1.4978160723345295E-4</v>
      </c>
      <c r="V221" s="12"/>
      <c r="W221" s="13">
        <f t="shared" si="19"/>
        <v>2.6268321464143694E-4</v>
      </c>
    </row>
    <row r="222" spans="15:23" x14ac:dyDescent="0.25">
      <c r="O222" s="1">
        <f t="shared" si="20"/>
        <v>1287</v>
      </c>
      <c r="Q222" s="12">
        <f t="shared" si="16"/>
        <v>3.3787235987022675E-7</v>
      </c>
      <c r="S222" s="13">
        <f t="shared" si="17"/>
        <v>4.3484172715298181E-4</v>
      </c>
      <c r="U222" s="13">
        <f t="shared" si="18"/>
        <v>1.5204256194160205E-4</v>
      </c>
      <c r="V222" s="12"/>
      <c r="W222" s="13">
        <f t="shared" si="19"/>
        <v>2.6633022392330997E-4</v>
      </c>
    </row>
    <row r="223" spans="15:23" x14ac:dyDescent="0.25">
      <c r="O223" s="1">
        <f t="shared" si="20"/>
        <v>1286</v>
      </c>
      <c r="Q223" s="12">
        <f t="shared" si="16"/>
        <v>3.4297238049515011E-7</v>
      </c>
      <c r="S223" s="13">
        <f t="shared" si="17"/>
        <v>4.4106248131676307E-4</v>
      </c>
      <c r="U223" s="13">
        <f t="shared" si="18"/>
        <v>1.5433757122281755E-4</v>
      </c>
      <c r="V223" s="12"/>
      <c r="W223" s="13">
        <f t="shared" si="19"/>
        <v>2.7002735122161028E-4</v>
      </c>
    </row>
    <row r="224" spans="15:23" x14ac:dyDescent="0.25">
      <c r="O224" s="1">
        <f t="shared" si="20"/>
        <v>1285</v>
      </c>
      <c r="Q224" s="12">
        <f t="shared" si="16"/>
        <v>3.4814921174193522E-7</v>
      </c>
      <c r="S224" s="13">
        <f t="shared" si="17"/>
        <v>4.4737173708838676E-4</v>
      </c>
      <c r="U224" s="13">
        <f t="shared" si="18"/>
        <v>1.5666714528387085E-4</v>
      </c>
      <c r="V224" s="12"/>
      <c r="W224" s="13">
        <f t="shared" si="19"/>
        <v>2.7377527431157934E-4</v>
      </c>
    </row>
    <row r="225" spans="15:23" x14ac:dyDescent="0.25">
      <c r="O225" s="1">
        <f t="shared" si="20"/>
        <v>1284</v>
      </c>
      <c r="Q225" s="12">
        <f t="shared" si="16"/>
        <v>3.5340400423080562E-7</v>
      </c>
      <c r="S225" s="13">
        <f t="shared" si="17"/>
        <v>4.5377074143235441E-4</v>
      </c>
      <c r="U225" s="13">
        <f t="shared" si="18"/>
        <v>1.5903180190386253E-4</v>
      </c>
      <c r="V225" s="12"/>
      <c r="W225" s="13">
        <f t="shared" si="19"/>
        <v>2.7757467991416625E-4</v>
      </c>
    </row>
    <row r="226" spans="15:23" x14ac:dyDescent="0.25">
      <c r="O226" s="1">
        <f t="shared" si="20"/>
        <v>1283</v>
      </c>
      <c r="Q226" s="12">
        <f t="shared" si="16"/>
        <v>3.5873792565535954E-7</v>
      </c>
      <c r="S226" s="13">
        <f t="shared" si="17"/>
        <v>4.6026075861582629E-4</v>
      </c>
      <c r="U226" s="13">
        <f t="shared" si="18"/>
        <v>1.6143206654491179E-4</v>
      </c>
      <c r="V226" s="12"/>
      <c r="W226" s="13">
        <f t="shared" si="19"/>
        <v>2.8142626380975587E-4</v>
      </c>
    </row>
    <row r="227" spans="15:23" x14ac:dyDescent="0.25">
      <c r="O227" s="1">
        <f t="shared" si="20"/>
        <v>1282</v>
      </c>
      <c r="Q227" s="12">
        <f t="shared" si="16"/>
        <v>3.6415216103216448E-7</v>
      </c>
      <c r="S227" s="13">
        <f t="shared" si="17"/>
        <v>4.6684307044323484E-4</v>
      </c>
      <c r="U227" s="13">
        <f t="shared" si="18"/>
        <v>1.6386847246447402E-4</v>
      </c>
      <c r="V227" s="12"/>
      <c r="W227" s="13">
        <f t="shared" si="19"/>
        <v>2.8533073095334297E-4</v>
      </c>
    </row>
    <row r="228" spans="15:23" x14ac:dyDescent="0.25">
      <c r="O228" s="1">
        <f t="shared" si="20"/>
        <v>1281</v>
      </c>
      <c r="Q228" s="12">
        <f t="shared" si="16"/>
        <v>3.6964791295386299E-7</v>
      </c>
      <c r="S228" s="13">
        <f t="shared" si="17"/>
        <v>4.7351897649389852E-4</v>
      </c>
      <c r="U228" s="13">
        <f t="shared" si="18"/>
        <v>1.6634156082923835E-4</v>
      </c>
      <c r="V228" s="12"/>
      <c r="W228" s="13">
        <f t="shared" si="19"/>
        <v>2.8928879559104358E-4</v>
      </c>
    </row>
    <row r="229" spans="15:23" x14ac:dyDescent="0.25">
      <c r="O229" s="1">
        <f t="shared" si="20"/>
        <v>1280</v>
      </c>
      <c r="Q229" s="12">
        <f t="shared" si="16"/>
        <v>3.7522640184589514E-7</v>
      </c>
      <c r="S229" s="13">
        <f t="shared" si="17"/>
        <v>4.8028979436274578E-4</v>
      </c>
      <c r="U229" s="13">
        <f t="shared" si="18"/>
        <v>1.688518808306528E-4</v>
      </c>
      <c r="V229" s="12"/>
      <c r="W229" s="13">
        <f t="shared" si="19"/>
        <v>2.9330118137800316E-4</v>
      </c>
    </row>
    <row r="230" spans="15:23" x14ac:dyDescent="0.25">
      <c r="O230" s="1">
        <f t="shared" si="20"/>
        <v>1279</v>
      </c>
      <c r="Q230" s="12">
        <f t="shared" si="16"/>
        <v>3.8088886622691338E-7</v>
      </c>
      <c r="S230" s="13">
        <f t="shared" si="17"/>
        <v>4.8715685990422219E-4</v>
      </c>
      <c r="U230" s="13">
        <f t="shared" si="18"/>
        <v>1.7139998980211102E-4</v>
      </c>
      <c r="V230" s="12"/>
      <c r="W230" s="13">
        <f t="shared" si="19"/>
        <v>2.9736862149773696E-4</v>
      </c>
    </row>
    <row r="231" spans="15:23" x14ac:dyDescent="0.25">
      <c r="O231" s="1">
        <f t="shared" si="20"/>
        <v>1278</v>
      </c>
      <c r="Q231" s="12">
        <f t="shared" si="16"/>
        <v>3.8663656297287679E-7</v>
      </c>
      <c r="S231" s="13">
        <f t="shared" si="17"/>
        <v>4.941215274793365E-4</v>
      </c>
      <c r="U231" s="13">
        <f t="shared" si="18"/>
        <v>1.7398645333779455E-4</v>
      </c>
      <c r="V231" s="12"/>
      <c r="W231" s="13">
        <f t="shared" si="19"/>
        <v>3.0149185878286815E-4</v>
      </c>
    </row>
    <row r="232" spans="15:23" x14ac:dyDescent="0.25">
      <c r="O232" s="1">
        <f t="shared" si="20"/>
        <v>1277</v>
      </c>
      <c r="Q232" s="12">
        <f t="shared" si="16"/>
        <v>3.9247076758491341E-7</v>
      </c>
      <c r="S232" s="13">
        <f t="shared" si="17"/>
        <v>5.0118517020593444E-4</v>
      </c>
      <c r="U232" s="13">
        <f t="shared" si="18"/>
        <v>1.7661184541321103E-4</v>
      </c>
      <c r="V232" s="12"/>
      <c r="W232" s="13">
        <f t="shared" si="19"/>
        <v>3.0567164583730804E-4</v>
      </c>
    </row>
    <row r="233" spans="15:23" x14ac:dyDescent="0.25">
      <c r="O233" s="1">
        <f t="shared" si="20"/>
        <v>1276</v>
      </c>
      <c r="Q233" s="12">
        <f t="shared" si="16"/>
        <v>3.9839277446104248E-7</v>
      </c>
      <c r="S233" s="13">
        <f t="shared" si="17"/>
        <v>5.0834918021229025E-4</v>
      </c>
      <c r="U233" s="13">
        <f t="shared" si="18"/>
        <v>1.7927674850746911E-4</v>
      </c>
      <c r="V233" s="12"/>
      <c r="W233" s="13">
        <f t="shared" si="19"/>
        <v>3.0990874515992537E-4</v>
      </c>
    </row>
    <row r="234" spans="15:23" x14ac:dyDescent="0.25">
      <c r="O234" s="1">
        <f t="shared" si="20"/>
        <v>1275</v>
      </c>
      <c r="Q234" s="12">
        <f t="shared" si="16"/>
        <v>4.0440389717170469E-7</v>
      </c>
      <c r="S234" s="13">
        <f t="shared" si="17"/>
        <v>5.1561496889392349E-4</v>
      </c>
      <c r="U234" s="13">
        <f t="shared" si="18"/>
        <v>1.819817537272671E-4</v>
      </c>
      <c r="V234" s="12"/>
      <c r="W234" s="13">
        <f t="shared" si="19"/>
        <v>3.1420392926963941E-4</v>
      </c>
    </row>
    <row r="235" spans="15:23" x14ac:dyDescent="0.25">
      <c r="O235" s="1">
        <f t="shared" si="20"/>
        <v>1274</v>
      </c>
      <c r="Q235" s="12">
        <f t="shared" si="16"/>
        <v>4.1050546873925262E-7</v>
      </c>
      <c r="S235" s="13">
        <f t="shared" si="17"/>
        <v>5.2298396717380782E-4</v>
      </c>
      <c r="U235" s="13">
        <f t="shared" si="18"/>
        <v>1.8472746093266368E-4</v>
      </c>
      <c r="V235" s="12"/>
      <c r="W235" s="13">
        <f t="shared" si="19"/>
        <v>3.1855798083202863E-4</v>
      </c>
    </row>
    <row r="236" spans="15:23" x14ac:dyDescent="0.25">
      <c r="O236" s="1">
        <f t="shared" si="20"/>
        <v>1273</v>
      </c>
      <c r="Q236" s="12">
        <f t="shared" si="16"/>
        <v>4.1669884192141567E-7</v>
      </c>
      <c r="S236" s="13">
        <f t="shared" si="17"/>
        <v>5.3045762576596218E-4</v>
      </c>
      <c r="U236" s="13">
        <f t="shared" si="18"/>
        <v>1.8751447886463705E-4</v>
      </c>
      <c r="V236" s="12"/>
      <c r="W236" s="13">
        <f t="shared" si="19"/>
        <v>3.2297169278744099E-4</v>
      </c>
    </row>
    <row r="237" spans="15:23" x14ac:dyDescent="0.25">
      <c r="O237" s="1">
        <f t="shared" si="20"/>
        <v>1272</v>
      </c>
      <c r="Q237" s="12">
        <f t="shared" si="16"/>
        <v>4.2298538949878558E-7</v>
      </c>
      <c r="S237" s="13">
        <f t="shared" si="17"/>
        <v>5.3803741544245528E-4</v>
      </c>
      <c r="U237" s="13">
        <f t="shared" si="18"/>
        <v>1.903434252744535E-4</v>
      </c>
      <c r="V237" s="12"/>
      <c r="W237" s="13">
        <f t="shared" si="19"/>
        <v>3.2744586848061457E-4</v>
      </c>
    </row>
    <row r="238" spans="15:23" x14ac:dyDescent="0.25">
      <c r="O238" s="1">
        <f t="shared" si="20"/>
        <v>1271</v>
      </c>
      <c r="Q238" s="12">
        <f t="shared" si="16"/>
        <v>4.2936650456637378E-7</v>
      </c>
      <c r="S238" s="13">
        <f t="shared" si="17"/>
        <v>5.4572482730386109E-4</v>
      </c>
      <c r="U238" s="13">
        <f t="shared" si="18"/>
        <v>1.9321492705486821E-4</v>
      </c>
      <c r="V238" s="12"/>
      <c r="W238" s="13">
        <f t="shared" si="19"/>
        <v>3.3198132179182281E-4</v>
      </c>
    </row>
    <row r="239" spans="15:23" x14ac:dyDescent="0.25">
      <c r="O239" s="1">
        <f t="shared" si="20"/>
        <v>1270</v>
      </c>
      <c r="Q239" s="12">
        <f t="shared" si="16"/>
        <v>4.3584360082934637E-7</v>
      </c>
      <c r="S239" s="13">
        <f t="shared" si="17"/>
        <v>5.5352137305326988E-4</v>
      </c>
      <c r="U239" s="13">
        <f t="shared" si="18"/>
        <v>1.9612962037320587E-4</v>
      </c>
      <c r="V239" s="12"/>
      <c r="W239" s="13">
        <f t="shared" si="19"/>
        <v>3.3657887726959765E-4</v>
      </c>
    </row>
    <row r="240" spans="15:23" x14ac:dyDescent="0.25">
      <c r="O240" s="1">
        <f t="shared" si="20"/>
        <v>1269</v>
      </c>
      <c r="Q240" s="12">
        <f t="shared" si="16"/>
        <v>4.4241811290293272E-7</v>
      </c>
      <c r="S240" s="13">
        <f t="shared" si="17"/>
        <v>5.6142858527382159E-4</v>
      </c>
      <c r="U240" s="13">
        <f t="shared" si="18"/>
        <v>1.9908815080631973E-4</v>
      </c>
      <c r="V240" s="12"/>
      <c r="W240" s="13">
        <f t="shared" si="19"/>
        <v>3.4123937026500091E-4</v>
      </c>
    </row>
    <row r="241" spans="15:23" x14ac:dyDescent="0.25">
      <c r="O241" s="1">
        <f t="shared" si="20"/>
        <v>1268</v>
      </c>
      <c r="Q241" s="12">
        <f t="shared" si="16"/>
        <v>4.4909149661658533E-7</v>
      </c>
      <c r="S241" s="13">
        <f t="shared" si="17"/>
        <v>5.694480177098302E-4</v>
      </c>
      <c r="U241" s="13">
        <f t="shared" si="18"/>
        <v>2.0209117347746341E-4</v>
      </c>
      <c r="V241" s="12"/>
      <c r="W241" s="13">
        <f t="shared" si="19"/>
        <v>3.4596364706747644E-4</v>
      </c>
    </row>
    <row r="242" spans="15:23" x14ac:dyDescent="0.25">
      <c r="O242" s="1">
        <f t="shared" si="20"/>
        <v>1267</v>
      </c>
      <c r="Q242" s="12">
        <f t="shared" si="16"/>
        <v>4.558652293224742E-7</v>
      </c>
      <c r="S242" s="13">
        <f t="shared" si="17"/>
        <v>5.7758124555157481E-4</v>
      </c>
      <c r="U242" s="13">
        <f t="shared" si="18"/>
        <v>2.0513935319511339E-4</v>
      </c>
      <c r="V242" s="12"/>
      <c r="W242" s="13">
        <f t="shared" si="19"/>
        <v>3.5075256504231791E-4</v>
      </c>
    </row>
    <row r="243" spans="15:23" x14ac:dyDescent="0.25">
      <c r="O243" s="1">
        <f t="shared" si="20"/>
        <v>1266</v>
      </c>
      <c r="Q243" s="12">
        <f t="shared" si="16"/>
        <v>4.627408102083286E-7</v>
      </c>
      <c r="S243" s="13">
        <f t="shared" si="17"/>
        <v>5.8582986572374405E-4</v>
      </c>
      <c r="U243" s="13">
        <f t="shared" si="18"/>
        <v>2.0823336459374788E-4</v>
      </c>
      <c r="V243" s="12"/>
      <c r="W243" s="13">
        <f t="shared" si="19"/>
        <v>3.5560699276973508E-4</v>
      </c>
    </row>
    <row r="244" spans="15:23" x14ac:dyDescent="0.25">
      <c r="O244" s="1">
        <f t="shared" si="20"/>
        <v>1265</v>
      </c>
      <c r="Q244" s="12">
        <f t="shared" si="16"/>
        <v>4.6971976061473758E-7</v>
      </c>
      <c r="S244" s="13">
        <f t="shared" si="17"/>
        <v>5.9419549717764308E-4</v>
      </c>
      <c r="U244" s="13">
        <f t="shared" si="18"/>
        <v>2.1137389227663192E-4</v>
      </c>
      <c r="V244" s="12"/>
      <c r="W244" s="13">
        <f t="shared" si="19"/>
        <v>3.6052781018557431E-4</v>
      </c>
    </row>
    <row r="245" spans="15:23" x14ac:dyDescent="0.25">
      <c r="O245" s="1">
        <f t="shared" si="20"/>
        <v>1264</v>
      </c>
      <c r="Q245" s="12">
        <f t="shared" si="16"/>
        <v>4.7680362435693164E-7</v>
      </c>
      <c r="S245" s="13">
        <f t="shared" si="17"/>
        <v>6.0267978118716157E-4</v>
      </c>
      <c r="U245" s="13">
        <f t="shared" si="18"/>
        <v>2.1456163096061922E-4</v>
      </c>
      <c r="V245" s="12"/>
      <c r="W245" s="13">
        <f t="shared" si="19"/>
        <v>3.6551590872368106E-4</v>
      </c>
    </row>
    <row r="246" spans="15:23" x14ac:dyDescent="0.25">
      <c r="O246" s="1">
        <f t="shared" si="20"/>
        <v>1263</v>
      </c>
      <c r="Q246" s="12">
        <f t="shared" si="16"/>
        <v>4.8399396805109787E-7</v>
      </c>
      <c r="S246" s="13">
        <f t="shared" si="17"/>
        <v>6.1128438164853658E-4</v>
      </c>
      <c r="U246" s="13">
        <f t="shared" si="18"/>
        <v>2.1779728562299405E-4</v>
      </c>
      <c r="V246" s="12"/>
      <c r="W246" s="13">
        <f t="shared" si="19"/>
        <v>3.7057219145991558E-4</v>
      </c>
    </row>
    <row r="247" spans="15:23" x14ac:dyDescent="0.25">
      <c r="O247" s="1">
        <f t="shared" si="20"/>
        <v>1262</v>
      </c>
      <c r="Q247" s="12">
        <f t="shared" si="16"/>
        <v>4.9129238144533483E-7</v>
      </c>
      <c r="S247" s="13">
        <f t="shared" si="17"/>
        <v>6.2001098538401261E-4</v>
      </c>
      <c r="U247" s="13">
        <f t="shared" si="18"/>
        <v>2.2108157165040069E-4</v>
      </c>
      <c r="V247" s="12"/>
      <c r="W247" s="13">
        <f t="shared" si="19"/>
        <v>3.7569757325787284E-4</v>
      </c>
    </row>
    <row r="248" spans="15:23" x14ac:dyDescent="0.25">
      <c r="O248" s="1">
        <f t="shared" si="20"/>
        <v>1261</v>
      </c>
      <c r="Q248" s="12">
        <f t="shared" si="16"/>
        <v>4.9870047775527378E-7</v>
      </c>
      <c r="S248" s="13">
        <f t="shared" si="17"/>
        <v>6.2886130244940025E-4</v>
      </c>
      <c r="U248" s="13">
        <f t="shared" si="18"/>
        <v>2.2441521498987321E-4</v>
      </c>
      <c r="V248" s="12"/>
      <c r="W248" s="13">
        <f t="shared" si="19"/>
        <v>3.8089298091629575E-4</v>
      </c>
    </row>
    <row r="249" spans="15:23" x14ac:dyDescent="0.25">
      <c r="O249" s="1">
        <f t="shared" si="20"/>
        <v>1260</v>
      </c>
      <c r="Q249" s="12">
        <f t="shared" si="16"/>
        <v>5.062198940044902E-7</v>
      </c>
      <c r="S249" s="13">
        <f t="shared" si="17"/>
        <v>6.3783706644565761E-4</v>
      </c>
      <c r="U249" s="13">
        <f t="shared" si="18"/>
        <v>2.2779895230202058E-4</v>
      </c>
      <c r="V249" s="12"/>
      <c r="W249" s="13">
        <f t="shared" si="19"/>
        <v>3.8615935331824729E-4</v>
      </c>
    </row>
    <row r="250" spans="15:23" x14ac:dyDescent="0.25">
      <c r="O250" s="1">
        <f t="shared" si="20"/>
        <v>1259</v>
      </c>
      <c r="Q250" s="12">
        <f t="shared" si="16"/>
        <v>5.13852291369604E-7</v>
      </c>
      <c r="S250" s="13">
        <f t="shared" si="17"/>
        <v>6.4694003483433142E-4</v>
      </c>
      <c r="U250" s="13">
        <f t="shared" si="18"/>
        <v>2.3123353111632181E-4</v>
      </c>
      <c r="V250" s="12"/>
      <c r="W250" s="13">
        <f t="shared" si="19"/>
        <v>3.9149764158193009E-4</v>
      </c>
    </row>
    <row r="251" spans="15:23" x14ac:dyDescent="0.25">
      <c r="O251" s="1">
        <f t="shared" si="20"/>
        <v>1258</v>
      </c>
      <c r="Q251" s="12">
        <f t="shared" si="16"/>
        <v>5.2159935553038048E-7</v>
      </c>
      <c r="S251" s="13">
        <f t="shared" si="17"/>
        <v>6.5617198925721867E-4</v>
      </c>
      <c r="U251" s="13">
        <f t="shared" si="18"/>
        <v>2.3471970998867122E-4</v>
      </c>
      <c r="V251" s="12"/>
      <c r="W251" s="13">
        <f t="shared" si="19"/>
        <v>3.9690880921336208E-4</v>
      </c>
    </row>
    <row r="252" spans="15:23" x14ac:dyDescent="0.25">
      <c r="O252" s="1">
        <f t="shared" si="20"/>
        <v>1257</v>
      </c>
      <c r="Q252" s="12">
        <f t="shared" si="16"/>
        <v>5.2946279702467969E-7</v>
      </c>
      <c r="S252" s="13">
        <f t="shared" si="17"/>
        <v>6.655347358600224E-4</v>
      </c>
      <c r="U252" s="13">
        <f t="shared" si="18"/>
        <v>2.3825825866110586E-4</v>
      </c>
      <c r="V252" s="12"/>
      <c r="W252" s="13">
        <f t="shared" si="19"/>
        <v>4.0239383226075854E-4</v>
      </c>
    </row>
    <row r="253" spans="15:23" x14ac:dyDescent="0.25">
      <c r="O253" s="1">
        <f t="shared" si="20"/>
        <v>1256</v>
      </c>
      <c r="Q253" s="12">
        <f t="shared" si="16"/>
        <v>5.374443516084733E-7</v>
      </c>
      <c r="S253" s="13">
        <f t="shared" si="17"/>
        <v>6.7503010562024244E-4</v>
      </c>
      <c r="U253" s="13">
        <f t="shared" si="18"/>
        <v>2.4184995822381299E-4</v>
      </c>
      <c r="V253" s="12"/>
      <c r="W253" s="13">
        <f t="shared" si="19"/>
        <v>4.079536994707545E-4</v>
      </c>
    </row>
    <row r="254" spans="15:23" x14ac:dyDescent="0.25">
      <c r="O254" s="1">
        <f t="shared" si="20"/>
        <v>1255</v>
      </c>
      <c r="Q254" s="12">
        <f t="shared" si="16"/>
        <v>5.4554578062087584E-7</v>
      </c>
      <c r="S254" s="13">
        <f t="shared" si="17"/>
        <v>6.846599546791992E-4</v>
      </c>
      <c r="U254" s="13">
        <f t="shared" si="18"/>
        <v>2.4549560127939415E-4</v>
      </c>
      <c r="V254" s="12"/>
      <c r="W254" s="13">
        <f t="shared" si="19"/>
        <v>4.1358941244639557E-4</v>
      </c>
    </row>
    <row r="255" spans="15:23" x14ac:dyDescent="0.25">
      <c r="O255" s="1">
        <f t="shared" si="20"/>
        <v>1254</v>
      </c>
      <c r="Q255" s="12">
        <f t="shared" si="16"/>
        <v>5.5376887135433341E-7</v>
      </c>
      <c r="S255" s="13">
        <f t="shared" si="17"/>
        <v>6.9442616467833406E-4</v>
      </c>
      <c r="U255" s="13">
        <f t="shared" si="18"/>
        <v>2.4919599210945006E-4</v>
      </c>
      <c r="V255" s="12"/>
      <c r="W255" s="13">
        <f t="shared" si="19"/>
        <v>4.193019858069696E-4</v>
      </c>
    </row>
    <row r="256" spans="15:23" x14ac:dyDescent="0.25">
      <c r="O256" s="1">
        <f t="shared" si="20"/>
        <v>1253</v>
      </c>
      <c r="Q256" s="12">
        <f t="shared" si="16"/>
        <v>5.621154374300764E-7</v>
      </c>
      <c r="S256" s="13">
        <f t="shared" si="17"/>
        <v>7.0433064309988571E-4</v>
      </c>
      <c r="U256" s="13">
        <f t="shared" si="18"/>
        <v>2.5295194684353436E-4</v>
      </c>
      <c r="V256" s="12"/>
      <c r="W256" s="13">
        <f t="shared" si="19"/>
        <v>4.25092447349729E-4</v>
      </c>
    </row>
    <row r="257" spans="15:23" x14ac:dyDescent="0.25">
      <c r="O257" s="1">
        <f t="shared" si="20"/>
        <v>1252</v>
      </c>
      <c r="Q257" s="12">
        <f t="shared" si="16"/>
        <v>5.705873191787348E-7</v>
      </c>
      <c r="S257" s="13">
        <f t="shared" si="17"/>
        <v>7.14375323611776E-4</v>
      </c>
      <c r="U257" s="13">
        <f t="shared" si="18"/>
        <v>2.5676429363043066E-4</v>
      </c>
      <c r="V257" s="12"/>
      <c r="W257" s="13">
        <f t="shared" si="19"/>
        <v>4.3096183821338937E-4</v>
      </c>
    </row>
    <row r="258" spans="15:23" x14ac:dyDescent="0.25">
      <c r="O258" s="1">
        <f t="shared" si="20"/>
        <v>1251</v>
      </c>
      <c r="Q258" s="12">
        <f t="shared" si="16"/>
        <v>5.7918638402642261E-7</v>
      </c>
      <c r="S258" s="13">
        <f t="shared" si="17"/>
        <v>7.2456216641705472E-4</v>
      </c>
      <c r="U258" s="13">
        <f t="shared" si="18"/>
        <v>2.6063387281189017E-4</v>
      </c>
      <c r="V258" s="12"/>
      <c r="W258" s="13">
        <f t="shared" si="19"/>
        <v>4.3691121304360419E-4</v>
      </c>
    </row>
    <row r="259" spans="15:23" x14ac:dyDescent="0.25">
      <c r="O259" s="1">
        <f t="shared" si="20"/>
        <v>1250</v>
      </c>
      <c r="Q259" s="12">
        <f t="shared" si="16"/>
        <v>5.8791452688620227E-7</v>
      </c>
      <c r="S259" s="13">
        <f t="shared" si="17"/>
        <v>7.3489315860775283E-4</v>
      </c>
      <c r="U259" s="13">
        <f t="shared" si="18"/>
        <v>2.6456153709879102E-4</v>
      </c>
      <c r="V259" s="12"/>
      <c r="W259" s="13">
        <f t="shared" si="19"/>
        <v>4.429416401603108E-4</v>
      </c>
    </row>
    <row r="260" spans="15:23" x14ac:dyDescent="0.25">
      <c r="O260" s="1">
        <f t="shared" si="20"/>
        <v>1249</v>
      </c>
      <c r="Q260" s="12">
        <f t="shared" si="16"/>
        <v>5.9677367055497222E-7</v>
      </c>
      <c r="S260" s="13">
        <f t="shared" si="17"/>
        <v>7.4537031452316031E-4</v>
      </c>
      <c r="U260" s="13">
        <f t="shared" si="18"/>
        <v>2.6854815174973752E-4</v>
      </c>
      <c r="V260" s="12"/>
      <c r="W260" s="13">
        <f t="shared" si="19"/>
        <v>4.4905420172694526E-4</v>
      </c>
    </row>
    <row r="261" spans="15:23" x14ac:dyDescent="0.25">
      <c r="O261" s="1">
        <f t="shared" si="20"/>
        <v>1248</v>
      </c>
      <c r="Q261" s="12">
        <f t="shared" si="16"/>
        <v>6.0576576611605812E-7</v>
      </c>
      <c r="S261" s="13">
        <f t="shared" si="17"/>
        <v>7.5599567611284049E-4</v>
      </c>
      <c r="U261" s="13">
        <f t="shared" si="18"/>
        <v>2.7259459475222617E-4</v>
      </c>
      <c r="V261" s="12"/>
      <c r="W261" s="13">
        <f t="shared" si="19"/>
        <v>4.5524999392170039E-4</v>
      </c>
    </row>
    <row r="262" spans="15:23" x14ac:dyDescent="0.25">
      <c r="O262" s="1">
        <f t="shared" si="20"/>
        <v>1247</v>
      </c>
      <c r="Q262" s="12">
        <f t="shared" si="16"/>
        <v>6.1489279334735756E-7</v>
      </c>
      <c r="S262" s="13">
        <f t="shared" si="17"/>
        <v>7.6677131330415483E-4</v>
      </c>
      <c r="U262" s="13">
        <f t="shared" si="18"/>
        <v>2.767017570063109E-4</v>
      </c>
      <c r="V262" s="12"/>
      <c r="W262" s="13">
        <f t="shared" si="19"/>
        <v>4.6153012711067873E-4</v>
      </c>
    </row>
    <row r="263" spans="15:23" x14ac:dyDescent="0.25">
      <c r="O263" s="1">
        <f t="shared" si="20"/>
        <v>1246</v>
      </c>
      <c r="Q263" s="12">
        <f t="shared" si="16"/>
        <v>6.2415676113519181E-7</v>
      </c>
      <c r="S263" s="13">
        <f t="shared" si="17"/>
        <v>7.7769932437444904E-4</v>
      </c>
      <c r="U263" s="13">
        <f t="shared" si="18"/>
        <v>2.8087054251083629E-4</v>
      </c>
      <c r="V263" s="12"/>
      <c r="W263" s="13">
        <f t="shared" si="19"/>
        <v>4.6789572602301571E-4</v>
      </c>
    </row>
    <row r="264" spans="15:23" x14ac:dyDescent="0.25">
      <c r="O264" s="1">
        <f t="shared" si="20"/>
        <v>1245</v>
      </c>
      <c r="Q264" s="12">
        <f t="shared" si="16"/>
        <v>6.3355970789402317E-7</v>
      </c>
      <c r="S264" s="13">
        <f t="shared" si="17"/>
        <v>7.887818363280589E-4</v>
      </c>
      <c r="U264" s="13">
        <f t="shared" si="18"/>
        <v>2.8510186855231043E-4</v>
      </c>
      <c r="V264" s="12"/>
      <c r="W264" s="13">
        <f t="shared" si="19"/>
        <v>4.7434792992805716E-4</v>
      </c>
    </row>
    <row r="265" spans="15:23" x14ac:dyDescent="0.25">
      <c r="O265" s="1">
        <f t="shared" si="20"/>
        <v>1244</v>
      </c>
      <c r="Q265" s="12">
        <f t="shared" si="16"/>
        <v>6.4310370199198656E-7</v>
      </c>
      <c r="S265" s="13">
        <f t="shared" si="17"/>
        <v>8.0002100527803131E-4</v>
      </c>
      <c r="U265" s="13">
        <f t="shared" si="18"/>
        <v>2.8939666589639394E-4</v>
      </c>
      <c r="V265" s="12"/>
      <c r="W265" s="13">
        <f t="shared" si="19"/>
        <v>4.8088789281451285E-4</v>
      </c>
    </row>
    <row r="266" spans="15:23" x14ac:dyDescent="0.25">
      <c r="O266" s="1">
        <f t="shared" si="20"/>
        <v>1243</v>
      </c>
      <c r="Q266" s="12">
        <f t="shared" ref="Q266:Q329" si="21">_xlfn.LOGNORM.DIST(O266,$D$25,$D$26,FALSE)</f>
        <v>6.527908421824015E-7</v>
      </c>
      <c r="S266" s="13">
        <f t="shared" ref="S266:S329" si="22">IF(O266&gt;$D$6,O266*Q266,0)</f>
        <v>8.1141901683272507E-4</v>
      </c>
      <c r="U266" s="13">
        <f t="shared" ref="U266:U329" si="23">IF(O266&gt;$D$6,$D$6*Q266,0)</f>
        <v>2.9375587898208068E-4</v>
      </c>
      <c r="V266" s="12"/>
      <c r="W266" s="13">
        <f t="shared" ref="W266:W329" si="24">(S266-U266)*EXP(-$D$9*$D$7)</f>
        <v>4.8751678357167072E-4</v>
      </c>
    </row>
    <row r="267" spans="15:23" x14ac:dyDescent="0.25">
      <c r="O267" s="1">
        <f t="shared" ref="O267:O330" si="25">O266-1</f>
        <v>1242</v>
      </c>
      <c r="Q267" s="12">
        <f t="shared" si="21"/>
        <v>6.6262325804132367E-7</v>
      </c>
      <c r="S267" s="13">
        <f t="shared" si="22"/>
        <v>8.2297808648732396E-4</v>
      </c>
      <c r="U267" s="13">
        <f t="shared" si="23"/>
        <v>2.9818046611859565E-4</v>
      </c>
      <c r="V267" s="12"/>
      <c r="W267" s="13">
        <f t="shared" si="24"/>
        <v>4.9423578617267903E-4</v>
      </c>
    </row>
    <row r="268" spans="15:23" x14ac:dyDescent="0.25">
      <c r="O268" s="1">
        <f t="shared" si="25"/>
        <v>1241</v>
      </c>
      <c r="Q268" s="12">
        <f t="shared" si="21"/>
        <v>6.726031104111448E-7</v>
      </c>
      <c r="S268" s="13">
        <f t="shared" si="22"/>
        <v>8.3470046002023074E-4</v>
      </c>
      <c r="U268" s="13">
        <f t="shared" si="23"/>
        <v>3.0267139968501514E-4</v>
      </c>
      <c r="V268" s="12"/>
      <c r="W268" s="13">
        <f t="shared" si="24"/>
        <v>5.010460998598604E-4</v>
      </c>
    </row>
    <row r="269" spans="15:23" x14ac:dyDescent="0.25">
      <c r="O269" s="1">
        <f t="shared" si="25"/>
        <v>1240</v>
      </c>
      <c r="Q269" s="12">
        <f t="shared" si="21"/>
        <v>6.8273259185047254E-7</v>
      </c>
      <c r="S269" s="13">
        <f t="shared" si="22"/>
        <v>8.4658841389458593E-4</v>
      </c>
      <c r="U269" s="13">
        <f t="shared" si="23"/>
        <v>3.0722966633271265E-4</v>
      </c>
      <c r="V269" s="12"/>
      <c r="W269" s="13">
        <f t="shared" si="24"/>
        <v>5.0794893933219214E-4</v>
      </c>
    </row>
    <row r="270" spans="15:23" x14ac:dyDescent="0.25">
      <c r="O270" s="1">
        <f t="shared" si="25"/>
        <v>1239</v>
      </c>
      <c r="Q270" s="12">
        <f t="shared" si="21"/>
        <v>6.9301392709026458E-7</v>
      </c>
      <c r="S270" s="13">
        <f t="shared" si="22"/>
        <v>8.5864425566483781E-4</v>
      </c>
      <c r="U270" s="13">
        <f t="shared" si="23"/>
        <v>3.1185626719061908E-4</v>
      </c>
      <c r="V270" s="12"/>
      <c r="W270" s="13">
        <f t="shared" si="24"/>
        <v>5.1494553493489212E-4</v>
      </c>
    </row>
    <row r="271" spans="15:23" x14ac:dyDescent="0.25">
      <c r="O271" s="1">
        <f t="shared" si="25"/>
        <v>1238</v>
      </c>
      <c r="Q271" s="12">
        <f t="shared" si="21"/>
        <v>7.0344937349622723E-7</v>
      </c>
      <c r="S271" s="13">
        <f t="shared" si="22"/>
        <v>8.7087032438832928E-4</v>
      </c>
      <c r="U271" s="13">
        <f t="shared" si="23"/>
        <v>3.1655221807330226E-4</v>
      </c>
      <c r="V271" s="12"/>
      <c r="W271" s="13">
        <f t="shared" si="24"/>
        <v>5.2203713285107545E-4</v>
      </c>
    </row>
    <row r="272" spans="15:23" x14ac:dyDescent="0.25">
      <c r="O272" s="1">
        <f t="shared" si="25"/>
        <v>1237</v>
      </c>
      <c r="Q272" s="12">
        <f t="shared" si="21"/>
        <v>7.1404122153782377E-7</v>
      </c>
      <c r="S272" s="13">
        <f t="shared" si="22"/>
        <v>8.8326899104228804E-4</v>
      </c>
      <c r="U272" s="13">
        <f t="shared" si="23"/>
        <v>3.213185496920207E-4</v>
      </c>
      <c r="V272" s="12"/>
      <c r="W272" s="13">
        <f t="shared" si="24"/>
        <v>5.2922499529569733E-4</v>
      </c>
    </row>
    <row r="273" spans="15:23" x14ac:dyDescent="0.25">
      <c r="O273" s="1">
        <f t="shared" si="25"/>
        <v>1236</v>
      </c>
      <c r="Q273" s="12">
        <f t="shared" si="21"/>
        <v>7.2479179526364284E-7</v>
      </c>
      <c r="S273" s="13">
        <f t="shared" si="22"/>
        <v>8.9584265894586249E-4</v>
      </c>
      <c r="U273" s="13">
        <f t="shared" si="23"/>
        <v>3.261563078686393E-4</v>
      </c>
      <c r="V273" s="12"/>
      <c r="W273" s="13">
        <f t="shared" si="24"/>
        <v>5.365104007115537E-4</v>
      </c>
    </row>
    <row r="274" spans="15:23" x14ac:dyDescent="0.25">
      <c r="O274" s="1">
        <f t="shared" si="25"/>
        <v>1235</v>
      </c>
      <c r="Q274" s="12">
        <f t="shared" si="21"/>
        <v>7.3570345278351133E-7</v>
      </c>
      <c r="S274" s="13">
        <f t="shared" si="22"/>
        <v>9.0859376418763653E-4</v>
      </c>
      <c r="U274" s="13">
        <f t="shared" si="23"/>
        <v>3.3106655375258012E-4</v>
      </c>
      <c r="V274" s="12"/>
      <c r="W274" s="13">
        <f t="shared" si="24"/>
        <v>5.438946439675832E-4</v>
      </c>
    </row>
    <row r="275" spans="15:23" x14ac:dyDescent="0.25">
      <c r="O275" s="1">
        <f t="shared" si="25"/>
        <v>1234</v>
      </c>
      <c r="Q275" s="12">
        <f t="shared" si="21"/>
        <v>7.4677858675726156E-7</v>
      </c>
      <c r="S275" s="13">
        <f t="shared" si="22"/>
        <v>9.2152477605846072E-4</v>
      </c>
      <c r="U275" s="13">
        <f t="shared" si="23"/>
        <v>3.360503640407677E-4</v>
      </c>
      <c r="V275" s="12"/>
      <c r="W275" s="13">
        <f t="shared" si="24"/>
        <v>5.51379036559355E-4</v>
      </c>
    </row>
    <row r="276" spans="15:23" x14ac:dyDescent="0.25">
      <c r="O276" s="1">
        <f t="shared" si="25"/>
        <v>1233</v>
      </c>
      <c r="Q276" s="12">
        <f t="shared" si="21"/>
        <v>7.5801962489024996E-7</v>
      </c>
      <c r="S276" s="13">
        <f t="shared" si="22"/>
        <v>9.3463819748967815E-4</v>
      </c>
      <c r="U276" s="13">
        <f t="shared" si="23"/>
        <v>3.4110883120061248E-4</v>
      </c>
      <c r="V276" s="12"/>
      <c r="W276" s="13">
        <f t="shared" si="24"/>
        <v>5.5896490681177661E-4</v>
      </c>
    </row>
    <row r="277" spans="15:23" x14ac:dyDescent="0.25">
      <c r="O277" s="1">
        <f t="shared" si="25"/>
        <v>1232</v>
      </c>
      <c r="Q277" s="12">
        <f t="shared" si="21"/>
        <v>7.6942903043580433E-7</v>
      </c>
      <c r="S277" s="13">
        <f t="shared" si="22"/>
        <v>9.4793656549691093E-4</v>
      </c>
      <c r="U277" s="13">
        <f t="shared" si="23"/>
        <v>3.4624306369611195E-4</v>
      </c>
      <c r="V277" s="12"/>
      <c r="W277" s="13">
        <f t="shared" si="24"/>
        <v>5.6665360008410282E-4</v>
      </c>
    </row>
    <row r="278" spans="15:23" x14ac:dyDescent="0.25">
      <c r="O278" s="1">
        <f t="shared" si="25"/>
        <v>1231</v>
      </c>
      <c r="Q278" s="12">
        <f t="shared" si="21"/>
        <v>7.8100930270465548E-7</v>
      </c>
      <c r="S278" s="13">
        <f t="shared" si="22"/>
        <v>9.6142245162943087E-4</v>
      </c>
      <c r="U278" s="13">
        <f t="shared" si="23"/>
        <v>3.5145418621709498E-4</v>
      </c>
      <c r="V278" s="12"/>
      <c r="W278" s="13">
        <f t="shared" si="24"/>
        <v>5.7444647897724171E-4</v>
      </c>
    </row>
    <row r="279" spans="15:23" x14ac:dyDescent="0.25">
      <c r="O279" s="1">
        <f t="shared" si="25"/>
        <v>1230</v>
      </c>
      <c r="Q279" s="12">
        <f t="shared" si="21"/>
        <v>7.9276297758143466E-7</v>
      </c>
      <c r="S279" s="13">
        <f t="shared" si="22"/>
        <v>9.7509846242516466E-4</v>
      </c>
      <c r="U279" s="13">
        <f t="shared" si="23"/>
        <v>3.5674333991164562E-4</v>
      </c>
      <c r="V279" s="12"/>
      <c r="W279" s="13">
        <f t="shared" si="24"/>
        <v>5.8234492354337518E-4</v>
      </c>
    </row>
    <row r="280" spans="15:23" x14ac:dyDescent="0.25">
      <c r="O280" s="1">
        <f t="shared" si="25"/>
        <v>1229</v>
      </c>
      <c r="Q280" s="12">
        <f t="shared" si="21"/>
        <v>8.0469262804821485E-7</v>
      </c>
      <c r="S280" s="13">
        <f t="shared" si="22"/>
        <v>9.8896723987125599E-4</v>
      </c>
      <c r="U280" s="13">
        <f t="shared" si="23"/>
        <v>3.6211168262169667E-4</v>
      </c>
      <c r="V280" s="12"/>
      <c r="W280" s="13">
        <f t="shared" si="24"/>
        <v>5.9035033149782562E-4</v>
      </c>
    </row>
    <row r="281" spans="15:23" x14ac:dyDescent="0.25">
      <c r="O281" s="1">
        <f t="shared" si="25"/>
        <v>1228</v>
      </c>
      <c r="Q281" s="12">
        <f t="shared" si="21"/>
        <v>8.1680086471547806E-7</v>
      </c>
      <c r="S281" s="13">
        <f t="shared" si="22"/>
        <v>1.003031461870607E-3</v>
      </c>
      <c r="U281" s="13">
        <f t="shared" si="23"/>
        <v>3.6756038912196513E-4</v>
      </c>
      <c r="V281" s="12"/>
      <c r="W281" s="13">
        <f t="shared" si="24"/>
        <v>5.984641184334069E-4</v>
      </c>
    </row>
    <row r="282" spans="15:23" x14ac:dyDescent="0.25">
      <c r="O282" s="1">
        <f t="shared" si="25"/>
        <v>1227</v>
      </c>
      <c r="Q282" s="12">
        <f t="shared" si="21"/>
        <v>8.290903363603272E-7</v>
      </c>
      <c r="S282" s="13">
        <f t="shared" si="22"/>
        <v>1.0172938427141214E-3</v>
      </c>
      <c r="U282" s="13">
        <f t="shared" si="23"/>
        <v>3.7309065136214724E-4</v>
      </c>
      <c r="V282" s="12"/>
      <c r="W282" s="13">
        <f t="shared" si="24"/>
        <v>6.0668771803707648E-4</v>
      </c>
    </row>
    <row r="283" spans="15:23" x14ac:dyDescent="0.25">
      <c r="O283" s="1">
        <f t="shared" si="25"/>
        <v>1226</v>
      </c>
      <c r="Q283" s="12">
        <f t="shared" si="21"/>
        <v>8.4156373047212489E-7</v>
      </c>
      <c r="S283" s="13">
        <f t="shared" si="22"/>
        <v>1.0317571335588251E-3</v>
      </c>
      <c r="U283" s="13">
        <f t="shared" si="23"/>
        <v>3.7870367871245623E-4</v>
      </c>
      <c r="V283" s="12"/>
      <c r="W283" s="13">
        <f t="shared" si="24"/>
        <v>6.1502258230897286E-4</v>
      </c>
    </row>
    <row r="284" spans="15:23" x14ac:dyDescent="0.25">
      <c r="O284" s="1">
        <f t="shared" si="25"/>
        <v>1225</v>
      </c>
      <c r="Q284" s="12">
        <f t="shared" si="21"/>
        <v>8.5422377380577467E-7</v>
      </c>
      <c r="S284" s="13">
        <f t="shared" si="22"/>
        <v>1.046424122912074E-3</v>
      </c>
      <c r="U284" s="13">
        <f t="shared" si="23"/>
        <v>3.844006982125986E-4</v>
      </c>
      <c r="V284" s="12"/>
      <c r="W284" s="13">
        <f t="shared" si="24"/>
        <v>6.2347018178394835E-4</v>
      </c>
    </row>
    <row r="285" spans="15:23" x14ac:dyDescent="0.25">
      <c r="O285" s="1">
        <f t="shared" si="25"/>
        <v>1224</v>
      </c>
      <c r="Q285" s="12">
        <f t="shared" si="21"/>
        <v>8.6707323294245949E-7</v>
      </c>
      <c r="S285" s="13">
        <f t="shared" si="22"/>
        <v>1.0612976371215705E-3</v>
      </c>
      <c r="U285" s="13">
        <f t="shared" si="23"/>
        <v>3.9018295482410676E-4</v>
      </c>
      <c r="V285" s="12"/>
      <c r="W285" s="13">
        <f t="shared" si="24"/>
        <v>6.3203200575541224E-4</v>
      </c>
    </row>
    <row r="286" spans="15:23" x14ac:dyDescent="0.25">
      <c r="O286" s="1">
        <f t="shared" si="25"/>
        <v>1223</v>
      </c>
      <c r="Q286" s="12">
        <f t="shared" si="21"/>
        <v>8.8011491485837932E-7</v>
      </c>
      <c r="S286" s="13">
        <f t="shared" si="22"/>
        <v>1.0763805408717979E-3</v>
      </c>
      <c r="U286" s="13">
        <f t="shared" si="23"/>
        <v>3.960517116862707E-4</v>
      </c>
      <c r="V286" s="12"/>
      <c r="W286" s="13">
        <f t="shared" si="24"/>
        <v>6.4070956250182609E-4</v>
      </c>
    </row>
    <row r="287" spans="15:23" x14ac:dyDescent="0.25">
      <c r="O287" s="1">
        <f t="shared" si="25"/>
        <v>1222</v>
      </c>
      <c r="Q287" s="12">
        <f t="shared" si="21"/>
        <v>8.9335166750105789E-7</v>
      </c>
      <c r="S287" s="13">
        <f t="shared" si="22"/>
        <v>1.0916757376862928E-3</v>
      </c>
      <c r="U287" s="13">
        <f t="shared" si="23"/>
        <v>4.0200825037547603E-4</v>
      </c>
      <c r="V287" s="12"/>
      <c r="W287" s="13">
        <f t="shared" si="24"/>
        <v>6.4950437951549213E-4</v>
      </c>
    </row>
    <row r="288" spans="15:23" x14ac:dyDescent="0.25">
      <c r="O288" s="1">
        <f t="shared" si="25"/>
        <v>1221</v>
      </c>
      <c r="Q288" s="12">
        <f t="shared" si="21"/>
        <v>9.0678638037381118E-7</v>
      </c>
      <c r="S288" s="13">
        <f t="shared" si="22"/>
        <v>1.1071861704364235E-3</v>
      </c>
      <c r="U288" s="13">
        <f t="shared" si="23"/>
        <v>4.0805387116821506E-4</v>
      </c>
      <c r="V288" s="12"/>
      <c r="W288" s="13">
        <f t="shared" si="24"/>
        <v>6.584180037340077E-4</v>
      </c>
    </row>
    <row r="289" spans="15:23" x14ac:dyDescent="0.25">
      <c r="O289" s="1">
        <f t="shared" si="25"/>
        <v>1220</v>
      </c>
      <c r="Q289" s="12">
        <f t="shared" si="21"/>
        <v>9.2042198512808168E-7</v>
      </c>
      <c r="S289" s="13">
        <f t="shared" si="22"/>
        <v>1.1229148218562597E-3</v>
      </c>
      <c r="U289" s="13">
        <f t="shared" si="23"/>
        <v>4.1418989330763677E-4</v>
      </c>
      <c r="V289" s="12"/>
      <c r="W289" s="13">
        <f t="shared" si="24"/>
        <v>6.6745200177412394E-4</v>
      </c>
    </row>
    <row r="290" spans="15:23" x14ac:dyDescent="0.25">
      <c r="O290" s="1">
        <f t="shared" si="25"/>
        <v>1219</v>
      </c>
      <c r="Q290" s="12">
        <f t="shared" si="21"/>
        <v>9.3426145616411914E-7</v>
      </c>
      <c r="S290" s="13">
        <f t="shared" si="22"/>
        <v>1.1388647150640612E-3</v>
      </c>
      <c r="U290" s="13">
        <f t="shared" si="23"/>
        <v>4.2041765527385359E-4</v>
      </c>
      <c r="V290" s="12"/>
      <c r="W290" s="13">
        <f t="shared" si="24"/>
        <v>6.7660796016829976E-4</v>
      </c>
    </row>
    <row r="291" spans="15:23" x14ac:dyDescent="0.25">
      <c r="O291" s="1">
        <f t="shared" si="25"/>
        <v>1218</v>
      </c>
      <c r="Q291" s="12">
        <f t="shared" si="21"/>
        <v>9.4830781123968317E-7</v>
      </c>
      <c r="S291" s="13">
        <f t="shared" si="22"/>
        <v>1.1550389140899341E-3</v>
      </c>
      <c r="U291" s="13">
        <f t="shared" si="23"/>
        <v>4.2673851505785744E-4</v>
      </c>
      <c r="V291" s="12"/>
      <c r="W291" s="13">
        <f t="shared" si="24"/>
        <v>6.8588748560366594E-4</v>
      </c>
    </row>
    <row r="292" spans="15:23" x14ac:dyDescent="0.25">
      <c r="O292" s="1">
        <f t="shared" si="25"/>
        <v>1217</v>
      </c>
      <c r="Q292" s="12">
        <f t="shared" si="21"/>
        <v>9.6256411208738558E-7</v>
      </c>
      <c r="S292" s="13">
        <f t="shared" si="22"/>
        <v>1.1714405244103482E-3</v>
      </c>
      <c r="U292" s="13">
        <f t="shared" si="23"/>
        <v>4.3315385043932349E-4</v>
      </c>
      <c r="V292" s="12"/>
      <c r="W292" s="13">
        <f t="shared" si="24"/>
        <v>6.9529220516378843E-4</v>
      </c>
    </row>
    <row r="293" spans="15:23" x14ac:dyDescent="0.25">
      <c r="O293" s="1">
        <f t="shared" si="25"/>
        <v>1216</v>
      </c>
      <c r="Q293" s="12">
        <f t="shared" si="21"/>
        <v>9.7703346504021085E-7</v>
      </c>
      <c r="S293" s="13">
        <f t="shared" si="22"/>
        <v>1.1880726934888964E-3</v>
      </c>
      <c r="U293" s="13">
        <f t="shared" si="23"/>
        <v>4.3966505926809488E-4</v>
      </c>
      <c r="V293" s="12"/>
      <c r="W293" s="13">
        <f t="shared" si="24"/>
        <v>7.0482376657284419E-4</v>
      </c>
    </row>
    <row r="294" spans="15:23" x14ac:dyDescent="0.25">
      <c r="O294" s="1">
        <f t="shared" si="25"/>
        <v>1215</v>
      </c>
      <c r="Q294" s="12">
        <f t="shared" si="21"/>
        <v>9.9171902166590515E-7</v>
      </c>
      <c r="S294" s="13">
        <f t="shared" si="22"/>
        <v>1.2049386113240747E-3</v>
      </c>
      <c r="U294" s="13">
        <f t="shared" si="23"/>
        <v>4.4627355974965734E-4</v>
      </c>
      <c r="V294" s="12"/>
      <c r="W294" s="13">
        <f t="shared" si="24"/>
        <v>7.1448383844265127E-4</v>
      </c>
    </row>
    <row r="295" spans="15:23" x14ac:dyDescent="0.25">
      <c r="O295" s="1">
        <f t="shared" si="25"/>
        <v>1214</v>
      </c>
      <c r="Q295" s="12">
        <f t="shared" si="21"/>
        <v>1.0066239794098063E-6</v>
      </c>
      <c r="S295" s="13">
        <f t="shared" si="22"/>
        <v>1.2220415110035048E-3</v>
      </c>
      <c r="U295" s="13">
        <f t="shared" si="23"/>
        <v>4.5298079073441281E-4</v>
      </c>
      <c r="V295" s="12"/>
      <c r="W295" s="13">
        <f t="shared" si="24"/>
        <v>7.2427411052218777E-4</v>
      </c>
    </row>
    <row r="296" spans="15:23" x14ac:dyDescent="0.25">
      <c r="O296" s="1">
        <f t="shared" si="25"/>
        <v>1213</v>
      </c>
      <c r="Q296" s="12">
        <f t="shared" si="21"/>
        <v>1.0217515822466835E-6</v>
      </c>
      <c r="S296" s="13">
        <f t="shared" si="22"/>
        <v>1.2393846692652271E-3</v>
      </c>
      <c r="U296" s="13">
        <f t="shared" si="23"/>
        <v>4.5978821201100758E-4</v>
      </c>
      <c r="V296" s="12"/>
      <c r="W296" s="13">
        <f t="shared" si="24"/>
        <v>7.3419629394995271E-4</v>
      </c>
    </row>
    <row r="297" spans="15:23" x14ac:dyDescent="0.25">
      <c r="O297" s="1">
        <f t="shared" si="25"/>
        <v>1212</v>
      </c>
      <c r="Q297" s="12">
        <f t="shared" si="21"/>
        <v>1.0371051213413645E-6</v>
      </c>
      <c r="S297" s="13">
        <f t="shared" si="22"/>
        <v>1.2569714070657337E-3</v>
      </c>
      <c r="U297" s="13">
        <f t="shared" si="23"/>
        <v>4.66697304603614E-4</v>
      </c>
      <c r="V297" s="12"/>
      <c r="W297" s="13">
        <f t="shared" si="24"/>
        <v>7.44252121508949E-4</v>
      </c>
    </row>
    <row r="298" spans="15:23" x14ac:dyDescent="0.25">
      <c r="O298" s="1">
        <f t="shared" si="25"/>
        <v>1211</v>
      </c>
      <c r="Q298" s="12">
        <f t="shared" si="21"/>
        <v>1.0526879357184517E-6</v>
      </c>
      <c r="S298" s="13">
        <f t="shared" si="22"/>
        <v>1.2748050901550451E-3</v>
      </c>
      <c r="U298" s="13">
        <f t="shared" si="23"/>
        <v>4.7370957107330328E-4</v>
      </c>
      <c r="V298" s="12"/>
      <c r="W298" s="13">
        <f t="shared" si="24"/>
        <v>7.5444334788444807E-4</v>
      </c>
    </row>
    <row r="299" spans="15:23" x14ac:dyDescent="0.25">
      <c r="O299" s="1">
        <f t="shared" si="25"/>
        <v>1210</v>
      </c>
      <c r="Q299" s="12">
        <f t="shared" si="21"/>
        <v>1.0685034129411808E-6</v>
      </c>
      <c r="S299" s="13">
        <f t="shared" si="22"/>
        <v>1.2928891296588288E-3</v>
      </c>
      <c r="U299" s="13">
        <f t="shared" si="23"/>
        <v>4.8082653582353133E-4</v>
      </c>
      <c r="V299" s="12"/>
      <c r="W299" s="13">
        <f t="shared" si="24"/>
        <v>7.6477174992451412E-4</v>
      </c>
    </row>
    <row r="300" spans="15:23" x14ac:dyDescent="0.25">
      <c r="O300" s="1">
        <f t="shared" si="25"/>
        <v>1209</v>
      </c>
      <c r="Q300" s="12">
        <f t="shared" si="21"/>
        <v>1.0845549897995712E-6</v>
      </c>
      <c r="S300" s="13">
        <f t="shared" si="22"/>
        <v>1.3112269826676816E-3</v>
      </c>
      <c r="U300" s="13">
        <f t="shared" si="23"/>
        <v>4.8804974540980702E-4</v>
      </c>
      <c r="V300" s="12"/>
      <c r="W300" s="13">
        <f t="shared" si="24"/>
        <v>7.7523912690333273E-4</v>
      </c>
    </row>
    <row r="301" spans="15:23" x14ac:dyDescent="0.25">
      <c r="O301" s="1">
        <f t="shared" si="25"/>
        <v>1208</v>
      </c>
      <c r="Q301" s="12">
        <f t="shared" si="21"/>
        <v>1.1008461530079366E-6</v>
      </c>
      <c r="S301" s="13">
        <f t="shared" si="22"/>
        <v>1.3298221528335874E-3</v>
      </c>
      <c r="U301" s="13">
        <f t="shared" si="23"/>
        <v>4.9538076885357143E-4</v>
      </c>
      <c r="V301" s="12"/>
      <c r="W301" s="13">
        <f t="shared" si="24"/>
        <v>7.8584730078733471E-4</v>
      </c>
    </row>
    <row r="302" spans="15:23" x14ac:dyDescent="0.25">
      <c r="O302" s="1">
        <f t="shared" si="25"/>
        <v>1207</v>
      </c>
      <c r="Q302" s="12">
        <f t="shared" si="21"/>
        <v>1.1173804399119008E-6</v>
      </c>
      <c r="S302" s="13">
        <f t="shared" si="22"/>
        <v>1.3486781909736643E-3</v>
      </c>
      <c r="U302" s="13">
        <f t="shared" si="23"/>
        <v>5.0282119796035533E-4</v>
      </c>
      <c r="V302" s="12"/>
      <c r="W302" s="13">
        <f t="shared" si="24"/>
        <v>7.9659811650415401E-4</v>
      </c>
    </row>
    <row r="303" spans="15:23" x14ac:dyDescent="0.25">
      <c r="O303" s="1">
        <f t="shared" si="25"/>
        <v>1206</v>
      </c>
      <c r="Q303" s="12">
        <f t="shared" si="21"/>
        <v>1.1341614392050579E-6</v>
      </c>
      <c r="S303" s="13">
        <f t="shared" si="22"/>
        <v>1.3677986956812998E-3</v>
      </c>
      <c r="U303" s="13">
        <f t="shared" si="23"/>
        <v>5.10372647642276E-4</v>
      </c>
      <c r="V303" s="12"/>
      <c r="W303" s="13">
        <f t="shared" si="24"/>
        <v>8.0749344221445695E-4</v>
      </c>
    </row>
    <row r="304" spans="15:23" x14ac:dyDescent="0.25">
      <c r="O304" s="1">
        <f t="shared" si="25"/>
        <v>1205</v>
      </c>
      <c r="Q304" s="12">
        <f t="shared" si="21"/>
        <v>1.1511927916554105E-6</v>
      </c>
      <c r="S304" s="13">
        <f t="shared" si="22"/>
        <v>1.3871873139447697E-3</v>
      </c>
      <c r="U304" s="13">
        <f t="shared" si="23"/>
        <v>5.1803675624493466E-4</v>
      </c>
      <c r="V304" s="12"/>
      <c r="W304" s="13">
        <f t="shared" si="24"/>
        <v>8.1853516958667479E-4</v>
      </c>
    </row>
    <row r="305" spans="15:23" x14ac:dyDescent="0.25">
      <c r="O305" s="1">
        <f t="shared" si="25"/>
        <v>1204</v>
      </c>
      <c r="Q305" s="12">
        <f t="shared" si="21"/>
        <v>1.1684781908416121E-6</v>
      </c>
      <c r="S305" s="13">
        <f t="shared" si="22"/>
        <v>1.4068477417733011E-3</v>
      </c>
      <c r="U305" s="13">
        <f t="shared" si="23"/>
        <v>5.258151858787255E-4</v>
      </c>
      <c r="V305" s="12"/>
      <c r="W305" s="13">
        <f t="shared" si="24"/>
        <v>8.2972521407459357E-4</v>
      </c>
    </row>
    <row r="306" spans="15:23" x14ac:dyDescent="0.25">
      <c r="O306" s="1">
        <f t="shared" si="25"/>
        <v>1203</v>
      </c>
      <c r="Q306" s="12">
        <f t="shared" si="21"/>
        <v>1.1860213838993316E-6</v>
      </c>
      <c r="S306" s="13">
        <f t="shared" si="22"/>
        <v>1.4267837248308959E-3</v>
      </c>
      <c r="U306" s="13">
        <f t="shared" si="23"/>
        <v>5.337096227546992E-4</v>
      </c>
      <c r="V306" s="12"/>
      <c r="W306" s="13">
        <f t="shared" si="24"/>
        <v>8.4106551519796111E-4</v>
      </c>
    </row>
    <row r="307" spans="15:23" x14ac:dyDescent="0.25">
      <c r="O307" s="1">
        <f t="shared" si="25"/>
        <v>1202</v>
      </c>
      <c r="Q307" s="12">
        <f t="shared" si="21"/>
        <v>1.2038261722776132E-6</v>
      </c>
      <c r="S307" s="13">
        <f t="shared" si="22"/>
        <v>1.4469990590776911E-3</v>
      </c>
      <c r="U307" s="13">
        <f t="shared" si="23"/>
        <v>5.4172177752492595E-4</v>
      </c>
      <c r="V307" s="12"/>
      <c r="W307" s="13">
        <f t="shared" si="24"/>
        <v>8.5255803682595646E-4</v>
      </c>
    </row>
    <row r="308" spans="15:23" x14ac:dyDescent="0.25">
      <c r="O308" s="1">
        <f t="shared" si="25"/>
        <v>1201</v>
      </c>
      <c r="Q308" s="12">
        <f t="shared" si="21"/>
        <v>1.2218964125056579E-6</v>
      </c>
      <c r="S308" s="13">
        <f t="shared" si="22"/>
        <v>1.4674975914192952E-3</v>
      </c>
      <c r="U308" s="13">
        <f t="shared" si="23"/>
        <v>5.4985338562754606E-4</v>
      </c>
      <c r="V308" s="12"/>
      <c r="W308" s="13">
        <f t="shared" si="24"/>
        <v>8.6420476746375491E-4</v>
      </c>
    </row>
    <row r="309" spans="15:23" x14ac:dyDescent="0.25">
      <c r="O309" s="1">
        <f t="shared" si="25"/>
        <v>1200</v>
      </c>
      <c r="Q309" s="12">
        <f t="shared" si="21"/>
        <v>1.2402360169698112E-6</v>
      </c>
      <c r="S309" s="13">
        <f t="shared" si="22"/>
        <v>1.4882832203637734E-3</v>
      </c>
      <c r="U309" s="13">
        <f t="shared" si="23"/>
        <v>5.5810620763641506E-4</v>
      </c>
      <c r="V309" s="12"/>
      <c r="W309" s="13">
        <f t="shared" si="24"/>
        <v>8.7600772054197043E-4</v>
      </c>
    </row>
    <row r="310" spans="15:23" x14ac:dyDescent="0.25">
      <c r="O310" s="1">
        <f t="shared" si="25"/>
        <v>1199</v>
      </c>
      <c r="Q310" s="12">
        <f t="shared" si="21"/>
        <v>1.2588489547012387E-6</v>
      </c>
      <c r="S310" s="13">
        <f t="shared" si="22"/>
        <v>1.5093598966867852E-3</v>
      </c>
      <c r="U310" s="13">
        <f t="shared" si="23"/>
        <v>5.6648202961555739E-4</v>
      </c>
      <c r="V310" s="12"/>
      <c r="W310" s="13">
        <f t="shared" si="24"/>
        <v>8.8796893470924614E-4</v>
      </c>
    </row>
    <row r="311" spans="15:23" x14ac:dyDescent="0.25">
      <c r="O311" s="1">
        <f t="shared" si="25"/>
        <v>1198</v>
      </c>
      <c r="Q311" s="12">
        <f t="shared" si="21"/>
        <v>1.2777392521741438E-6</v>
      </c>
      <c r="S311" s="13">
        <f t="shared" si="22"/>
        <v>1.5307316241046243E-3</v>
      </c>
      <c r="U311" s="13">
        <f t="shared" si="23"/>
        <v>5.7498266347836473E-4</v>
      </c>
      <c r="V311" s="12"/>
      <c r="W311" s="13">
        <f t="shared" si="24"/>
        <v>9.0009047412781989E-4</v>
      </c>
    </row>
    <row r="312" spans="15:23" x14ac:dyDescent="0.25">
      <c r="O312" s="1">
        <f t="shared" si="25"/>
        <v>1197</v>
      </c>
      <c r="Q312" s="12">
        <f t="shared" si="21"/>
        <v>1.2969109941149001E-6</v>
      </c>
      <c r="S312" s="13">
        <f t="shared" si="22"/>
        <v>1.5524024599555355E-3</v>
      </c>
      <c r="U312" s="13">
        <f t="shared" si="23"/>
        <v>5.8360994735170502E-4</v>
      </c>
      <c r="V312" s="12"/>
      <c r="W312" s="13">
        <f t="shared" si="24"/>
        <v>9.1237442877225878E-4</v>
      </c>
    </row>
    <row r="313" spans="15:23" x14ac:dyDescent="0.25">
      <c r="O313" s="1">
        <f t="shared" si="25"/>
        <v>1196</v>
      </c>
      <c r="Q313" s="12">
        <f t="shared" si="21"/>
        <v>1.3163683243219497E-6</v>
      </c>
      <c r="S313" s="13">
        <f t="shared" si="22"/>
        <v>1.5743765158890519E-3</v>
      </c>
      <c r="U313" s="13">
        <f t="shared" si="23"/>
        <v>5.9236574594487734E-4</v>
      </c>
      <c r="V313" s="12"/>
      <c r="W313" s="13">
        <f t="shared" si="24"/>
        <v>9.2482291473118452E-4</v>
      </c>
    </row>
    <row r="314" spans="15:23" x14ac:dyDescent="0.25">
      <c r="O314" s="1">
        <f t="shared" si="25"/>
        <v>1195</v>
      </c>
      <c r="Q314" s="12">
        <f t="shared" si="21"/>
        <v>1.3361154464969232E-6</v>
      </c>
      <c r="S314" s="13">
        <f t="shared" si="22"/>
        <v>1.5966579585638232E-3</v>
      </c>
      <c r="U314" s="13">
        <f t="shared" si="23"/>
        <v>6.0125195092361548E-4</v>
      </c>
      <c r="V314" s="12"/>
      <c r="W314" s="13">
        <f t="shared" si="24"/>
        <v>9.3743807451223944E-4</v>
      </c>
    </row>
    <row r="315" spans="15:23" x14ac:dyDescent="0.25">
      <c r="O315" s="1">
        <f t="shared" si="25"/>
        <v>1194</v>
      </c>
      <c r="Q315" s="12">
        <f t="shared" si="21"/>
        <v>1.3561566250868714E-6</v>
      </c>
      <c r="S315" s="13">
        <f t="shared" si="22"/>
        <v>1.6192510103537245E-3</v>
      </c>
      <c r="U315" s="13">
        <f t="shared" si="23"/>
        <v>6.1027048128909213E-4</v>
      </c>
      <c r="V315" s="12"/>
      <c r="W315" s="13">
        <f t="shared" si="24"/>
        <v>9.5022207735014205E-4</v>
      </c>
    </row>
    <row r="316" spans="15:23" x14ac:dyDescent="0.25">
      <c r="O316" s="1">
        <f t="shared" si="25"/>
        <v>1193</v>
      </c>
      <c r="Q316" s="12">
        <f t="shared" si="21"/>
        <v>1.3764961861379283E-6</v>
      </c>
      <c r="S316" s="13">
        <f t="shared" si="22"/>
        <v>1.6421599500625484E-3</v>
      </c>
      <c r="U316" s="13">
        <f t="shared" si="23"/>
        <v>6.1942328376206779E-4</v>
      </c>
      <c r="V316" s="12"/>
      <c r="W316" s="13">
        <f t="shared" si="24"/>
        <v>9.6317711951798162E-4</v>
      </c>
    </row>
    <row r="317" spans="15:23" x14ac:dyDescent="0.25">
      <c r="O317" s="1">
        <f t="shared" si="25"/>
        <v>1192</v>
      </c>
      <c r="Q317" s="12">
        <f t="shared" si="21"/>
        <v>1.3971385181602848E-6</v>
      </c>
      <c r="S317" s="13">
        <f t="shared" si="22"/>
        <v>1.6653891136470594E-3</v>
      </c>
      <c r="U317" s="13">
        <f t="shared" si="23"/>
        <v>6.2871233317212815E-4</v>
      </c>
      <c r="V317" s="12"/>
      <c r="W317" s="13">
        <f t="shared" si="24"/>
        <v>9.7630542464159425E-4</v>
      </c>
    </row>
    <row r="318" spans="15:23" x14ac:dyDescent="0.25">
      <c r="O318" s="1">
        <f t="shared" si="25"/>
        <v>1191</v>
      </c>
      <c r="Q318" s="12">
        <f t="shared" si="21"/>
        <v>1.4180880730051132E-6</v>
      </c>
      <c r="S318" s="13">
        <f t="shared" si="22"/>
        <v>1.6889428949490898E-3</v>
      </c>
      <c r="U318" s="13">
        <f t="shared" si="23"/>
        <v>6.3813963285230097E-4</v>
      </c>
      <c r="V318" s="12"/>
      <c r="W318" s="13">
        <f t="shared" si="24"/>
        <v>9.8960924401738943E-4</v>
      </c>
    </row>
    <row r="319" spans="15:23" x14ac:dyDescent="0.25">
      <c r="O319" s="1">
        <f t="shared" si="25"/>
        <v>1190</v>
      </c>
      <c r="Q319" s="12">
        <f t="shared" si="21"/>
        <v>1.4393493667528813E-6</v>
      </c>
      <c r="S319" s="13">
        <f t="shared" si="22"/>
        <v>1.7128257464359288E-3</v>
      </c>
      <c r="U319" s="13">
        <f t="shared" si="23"/>
        <v>6.4770721503879653E-4</v>
      </c>
      <c r="V319" s="12"/>
      <c r="W319" s="13">
        <f t="shared" si="24"/>
        <v>1.0030908569331604E-3</v>
      </c>
    </row>
    <row r="320" spans="15:23" x14ac:dyDescent="0.25">
      <c r="O320" s="1">
        <f t="shared" si="25"/>
        <v>1189</v>
      </c>
      <c r="Q320" s="12">
        <f t="shared" si="21"/>
        <v>1.4609269806139277E-6</v>
      </c>
      <c r="S320" s="13">
        <f t="shared" si="22"/>
        <v>1.7370421799499599E-3</v>
      </c>
      <c r="U320" s="13">
        <f t="shared" si="23"/>
        <v>6.5741714127626747E-4</v>
      </c>
      <c r="V320" s="12"/>
      <c r="W320" s="13">
        <f t="shared" si="24"/>
        <v>1.0167525709924067E-3</v>
      </c>
    </row>
    <row r="321" spans="15:23" x14ac:dyDescent="0.25">
      <c r="O321" s="1">
        <f t="shared" si="25"/>
        <v>1188</v>
      </c>
      <c r="Q321" s="12">
        <f t="shared" si="21"/>
        <v>1.4828255618409583E-6</v>
      </c>
      <c r="S321" s="13">
        <f t="shared" si="22"/>
        <v>1.7615967674670585E-3</v>
      </c>
      <c r="U321" s="13">
        <f t="shared" si="23"/>
        <v>6.6727150282843122E-4</v>
      </c>
      <c r="V321" s="12"/>
      <c r="W321" s="13">
        <f t="shared" si="24"/>
        <v>1.0305967224418563E-3</v>
      </c>
    </row>
    <row r="322" spans="15:23" x14ac:dyDescent="0.25">
      <c r="O322" s="1">
        <f t="shared" si="25"/>
        <v>1187</v>
      </c>
      <c r="Q322" s="12">
        <f t="shared" si="21"/>
        <v>1.5050498246538104E-6</v>
      </c>
      <c r="S322" s="13">
        <f t="shared" si="22"/>
        <v>1.786494141864073E-3</v>
      </c>
      <c r="U322" s="13">
        <f t="shared" si="23"/>
        <v>6.7727242109421465E-4</v>
      </c>
      <c r="V322" s="12"/>
      <c r="W322" s="13">
        <f t="shared" si="24"/>
        <v>1.0446256765023435E-3</v>
      </c>
    </row>
    <row r="323" spans="15:23" x14ac:dyDescent="0.25">
      <c r="O323" s="1">
        <f t="shared" si="25"/>
        <v>1186</v>
      </c>
      <c r="Q323" s="12">
        <f t="shared" si="21"/>
        <v>1.5276045511764913E-6</v>
      </c>
      <c r="S323" s="13">
        <f t="shared" si="22"/>
        <v>1.8117389976953187E-3</v>
      </c>
      <c r="U323" s="13">
        <f t="shared" si="23"/>
        <v>6.8742204802942108E-4</v>
      </c>
      <c r="V323" s="12"/>
      <c r="W323" s="13">
        <f t="shared" si="24"/>
        <v>1.0588418277029696E-3</v>
      </c>
    </row>
    <row r="324" spans="15:23" x14ac:dyDescent="0.25">
      <c r="O324" s="1">
        <f t="shared" si="25"/>
        <v>1185</v>
      </c>
      <c r="Q324" s="12">
        <f t="shared" si="21"/>
        <v>1.5504945923869635E-6</v>
      </c>
      <c r="S324" s="13">
        <f t="shared" si="22"/>
        <v>1.8373360919785517E-3</v>
      </c>
      <c r="U324" s="13">
        <f t="shared" si="23"/>
        <v>6.9772256657413354E-4</v>
      </c>
      <c r="V324" s="12"/>
      <c r="W324" s="13">
        <f t="shared" si="24"/>
        <v>1.0732476002187933E-3</v>
      </c>
    </row>
    <row r="325" spans="15:23" x14ac:dyDescent="0.25">
      <c r="O325" s="1">
        <f t="shared" si="25"/>
        <v>1184</v>
      </c>
      <c r="Q325" s="12">
        <f t="shared" si="21"/>
        <v>1.5737248690793566E-6</v>
      </c>
      <c r="S325" s="13">
        <f t="shared" si="22"/>
        <v>1.8632902449899581E-3</v>
      </c>
      <c r="U325" s="13">
        <f t="shared" si="23"/>
        <v>7.0817619108571044E-4</v>
      </c>
      <c r="V325" s="12"/>
      <c r="W325" s="13">
        <f t="shared" si="24"/>
        <v>1.0878454482117445E-3</v>
      </c>
    </row>
    <row r="326" spans="15:23" x14ac:dyDescent="0.25">
      <c r="O326" s="1">
        <f t="shared" si="25"/>
        <v>1183</v>
      </c>
      <c r="Q326" s="12">
        <f t="shared" si="21"/>
        <v>1.5973003728393343E-6</v>
      </c>
      <c r="S326" s="13">
        <f t="shared" si="22"/>
        <v>1.8896063410689325E-3</v>
      </c>
      <c r="U326" s="13">
        <f t="shared" si="23"/>
        <v>7.1878516777770048E-4</v>
      </c>
      <c r="V326" s="12"/>
      <c r="W326" s="13">
        <f t="shared" si="24"/>
        <v>1.1026378561751799E-3</v>
      </c>
    </row>
    <row r="327" spans="15:23" x14ac:dyDescent="0.25">
      <c r="O327" s="1">
        <f t="shared" si="25"/>
        <v>1182</v>
      </c>
      <c r="Q327" s="12">
        <f t="shared" si="21"/>
        <v>1.6212261670321883E-6</v>
      </c>
      <c r="S327" s="13">
        <f t="shared" si="22"/>
        <v>1.9162893294320466E-3</v>
      </c>
      <c r="U327" s="13">
        <f t="shared" si="23"/>
        <v>7.2955177516448473E-4</v>
      </c>
      <c r="V327" s="12"/>
      <c r="W327" s="13">
        <f t="shared" si="24"/>
        <v>1.1176273392817023E-3</v>
      </c>
    </row>
    <row r="328" spans="15:23" x14ac:dyDescent="0.25">
      <c r="O328" s="1">
        <f t="shared" si="25"/>
        <v>1181</v>
      </c>
      <c r="Q328" s="12">
        <f t="shared" si="21"/>
        <v>1.6455073878042419E-6</v>
      </c>
      <c r="S328" s="13">
        <f t="shared" si="22"/>
        <v>1.9433442249968097E-3</v>
      </c>
      <c r="U328" s="13">
        <f t="shared" si="23"/>
        <v>7.4047832451190881E-4</v>
      </c>
      <c r="V328" s="12"/>
      <c r="W328" s="13">
        <f t="shared" si="24"/>
        <v>1.13281644373456E-3</v>
      </c>
    </row>
    <row r="329" spans="15:23" x14ac:dyDescent="0.25">
      <c r="O329" s="1">
        <f t="shared" si="25"/>
        <v>1180</v>
      </c>
      <c r="Q329" s="12">
        <f t="shared" si="21"/>
        <v>1.6701492450975248E-6</v>
      </c>
      <c r="S329" s="13">
        <f t="shared" si="22"/>
        <v>1.9707761092150793E-3</v>
      </c>
      <c r="U329" s="13">
        <f t="shared" si="23"/>
        <v>7.515671602938861E-4</v>
      </c>
      <c r="V329" s="12"/>
      <c r="W329" s="13">
        <f t="shared" si="24"/>
        <v>1.1482077471225097E-3</v>
      </c>
    </row>
    <row r="330" spans="15:23" x14ac:dyDescent="0.25">
      <c r="O330" s="1">
        <f t="shared" si="25"/>
        <v>1179</v>
      </c>
      <c r="Q330" s="12">
        <f t="shared" ref="Q330:Q393" si="26">_xlfn.LOGNORM.DIST(O330,$D$25,$D$26,FALSE)</f>
        <v>1.6951570236779886E-6</v>
      </c>
      <c r="S330" s="13">
        <f t="shared" ref="S330:S393" si="27">IF(O330&gt;$D$6,O330*Q330,0)</f>
        <v>1.9985901309163487E-3</v>
      </c>
      <c r="U330" s="13">
        <f t="shared" ref="U330:U393" si="28">IF(O330&gt;$D$6,$D$6*Q330,0)</f>
        <v>7.6282066065509486E-4</v>
      </c>
      <c r="V330" s="12"/>
      <c r="W330" s="13">
        <f t="shared" ref="W330:W393" si="29">(S330-U330)*EXP(-$D$9*$D$7)</f>
        <v>1.1638038587782438E-3</v>
      </c>
    </row>
    <row r="331" spans="15:23" x14ac:dyDescent="0.25">
      <c r="O331" s="1">
        <f t="shared" ref="O331:O394" si="30">O330-1</f>
        <v>1178</v>
      </c>
      <c r="Q331" s="12">
        <f t="shared" si="26"/>
        <v>1.7205360841774542E-6</v>
      </c>
      <c r="S331" s="13">
        <f t="shared" si="27"/>
        <v>2.026791507161041E-3</v>
      </c>
      <c r="U331" s="13">
        <f t="shared" si="28"/>
        <v>7.7424123787985433E-4</v>
      </c>
      <c r="V331" s="12"/>
      <c r="W331" s="13">
        <f t="shared" si="29"/>
        <v>1.1796074201404219E-3</v>
      </c>
    </row>
    <row r="332" spans="15:23" x14ac:dyDescent="0.25">
      <c r="O332" s="1">
        <f t="shared" si="30"/>
        <v>1177</v>
      </c>
      <c r="Q332" s="12">
        <f t="shared" si="26"/>
        <v>1.7462918641491068E-6</v>
      </c>
      <c r="S332" s="13">
        <f t="shared" si="27"/>
        <v>2.0553855241034987E-3</v>
      </c>
      <c r="U332" s="13">
        <f t="shared" si="28"/>
        <v>7.8583133886709808E-4</v>
      </c>
      <c r="V332" s="12"/>
      <c r="W332" s="13">
        <f t="shared" si="29"/>
        <v>1.1956211051190897E-3</v>
      </c>
    </row>
    <row r="333" spans="15:23" x14ac:dyDescent="0.25">
      <c r="O333" s="1">
        <f t="shared" si="30"/>
        <v>1176</v>
      </c>
      <c r="Q333" s="12">
        <f t="shared" si="26"/>
        <v>1.7724298791373119E-6</v>
      </c>
      <c r="S333" s="13">
        <f t="shared" si="27"/>
        <v>2.0843775378654788E-3</v>
      </c>
      <c r="U333" s="13">
        <f t="shared" si="28"/>
        <v>7.9759344561179039E-4</v>
      </c>
      <c r="V333" s="12"/>
      <c r="W333" s="13">
        <f t="shared" si="29"/>
        <v>1.2118476204649258E-3</v>
      </c>
    </row>
    <row r="334" spans="15:23" x14ac:dyDescent="0.25">
      <c r="O334" s="1">
        <f t="shared" si="30"/>
        <v>1175</v>
      </c>
      <c r="Q334" s="12">
        <f t="shared" si="26"/>
        <v>1.7989557237614793E-6</v>
      </c>
      <c r="S334" s="13">
        <f t="shared" si="27"/>
        <v>2.1137729754197383E-3</v>
      </c>
      <c r="U334" s="13">
        <f t="shared" si="28"/>
        <v>8.0953007569266571E-4</v>
      </c>
      <c r="V334" s="12"/>
      <c r="W334" s="13">
        <f t="shared" si="29"/>
        <v>1.2282897061420346E-3</v>
      </c>
    </row>
    <row r="335" spans="15:23" x14ac:dyDescent="0.25">
      <c r="O335" s="1">
        <f t="shared" si="30"/>
        <v>1174</v>
      </c>
      <c r="Q335" s="12">
        <f t="shared" si="26"/>
        <v>1.8258750728141547E-6</v>
      </c>
      <c r="S335" s="13">
        <f t="shared" si="27"/>
        <v>2.1435773354838176E-3</v>
      </c>
      <c r="U335" s="13">
        <f t="shared" si="28"/>
        <v>8.2164378276636957E-4</v>
      </c>
      <c r="V335" s="12"/>
      <c r="W335" s="13">
        <f t="shared" si="29"/>
        <v>1.2449501357043164E-3</v>
      </c>
    </row>
    <row r="336" spans="15:23" x14ac:dyDescent="0.25">
      <c r="O336" s="1">
        <f t="shared" si="30"/>
        <v>1173</v>
      </c>
      <c r="Q336" s="12">
        <f t="shared" si="26"/>
        <v>1.8531936823738304E-6</v>
      </c>
      <c r="S336" s="13">
        <f t="shared" si="27"/>
        <v>2.173796189424503E-3</v>
      </c>
      <c r="U336" s="13">
        <f t="shared" si="28"/>
        <v>8.3393715706822364E-4</v>
      </c>
      <c r="V336" s="12"/>
      <c r="W336" s="13">
        <f t="shared" si="29"/>
        <v>1.2618317166756541E-3</v>
      </c>
    </row>
    <row r="337" spans="15:23" x14ac:dyDescent="0.25">
      <c r="O337" s="1">
        <f t="shared" si="30"/>
        <v>1172</v>
      </c>
      <c r="Q337" s="12">
        <f t="shared" si="26"/>
        <v>1.8809173909322839E-6</v>
      </c>
      <c r="S337" s="13">
        <f t="shared" si="27"/>
        <v>2.2044351821726366E-3</v>
      </c>
      <c r="U337" s="13">
        <f t="shared" si="28"/>
        <v>8.464128259195277E-4</v>
      </c>
      <c r="V337" s="12"/>
      <c r="W337" s="13">
        <f t="shared" si="29"/>
        <v>1.2789372909336916E-3</v>
      </c>
    </row>
    <row r="338" spans="15:23" x14ac:dyDescent="0.25">
      <c r="O338" s="1">
        <f t="shared" si="30"/>
        <v>1171</v>
      </c>
      <c r="Q338" s="12">
        <f t="shared" si="26"/>
        <v>1.9090521205367945E-6</v>
      </c>
      <c r="S338" s="13">
        <f t="shared" si="27"/>
        <v>2.2355000331485864E-3</v>
      </c>
      <c r="U338" s="13">
        <f t="shared" si="28"/>
        <v>8.5907345424155747E-4</v>
      </c>
      <c r="V338" s="12"/>
      <c r="W338" s="13">
        <f t="shared" si="29"/>
        <v>1.2962697350973411E-3</v>
      </c>
    </row>
    <row r="339" spans="15:23" x14ac:dyDescent="0.25">
      <c r="O339" s="1">
        <f t="shared" si="30"/>
        <v>1170</v>
      </c>
      <c r="Q339" s="12">
        <f t="shared" si="26"/>
        <v>1.9376038779476298E-6</v>
      </c>
      <c r="S339" s="13">
        <f t="shared" si="27"/>
        <v>2.2669965371987268E-3</v>
      </c>
      <c r="U339" s="13">
        <f t="shared" si="28"/>
        <v>8.7192174507643339E-4</v>
      </c>
      <c r="V339" s="12"/>
      <c r="W339" s="13">
        <f t="shared" si="29"/>
        <v>1.3138319609181943E-3</v>
      </c>
    </row>
    <row r="340" spans="15:23" x14ac:dyDescent="0.25">
      <c r="O340" s="1">
        <f t="shared" si="30"/>
        <v>1169</v>
      </c>
      <c r="Q340" s="12">
        <f t="shared" si="26"/>
        <v>1.9665787558105496E-6</v>
      </c>
      <c r="S340" s="13">
        <f t="shared" si="27"/>
        <v>2.2989305655425323E-3</v>
      </c>
      <c r="U340" s="13">
        <f t="shared" si="28"/>
        <v>8.8496044011474734E-4</v>
      </c>
      <c r="V340" s="12"/>
      <c r="W340" s="13">
        <f t="shared" si="29"/>
        <v>1.3316269156755595E-3</v>
      </c>
    </row>
    <row r="341" spans="15:23" x14ac:dyDescent="0.25">
      <c r="O341" s="1">
        <f t="shared" si="30"/>
        <v>1168</v>
      </c>
      <c r="Q341" s="12">
        <f t="shared" si="26"/>
        <v>1.9959829338446018E-6</v>
      </c>
      <c r="S341" s="13">
        <f t="shared" si="27"/>
        <v>2.3313080667304951E-3</v>
      </c>
      <c r="U341" s="13">
        <f t="shared" si="28"/>
        <v>8.9819232023007078E-4</v>
      </c>
      <c r="V341" s="12"/>
      <c r="W341" s="13">
        <f t="shared" si="29"/>
        <v>1.3496575825752146E-3</v>
      </c>
    </row>
    <row r="342" spans="15:23" x14ac:dyDescent="0.25">
      <c r="O342" s="1">
        <f t="shared" si="30"/>
        <v>1167</v>
      </c>
      <c r="Q342" s="12">
        <f t="shared" si="26"/>
        <v>2.0258226800460001E-6</v>
      </c>
      <c r="S342" s="13">
        <f t="shared" si="27"/>
        <v>2.3641350676136823E-3</v>
      </c>
      <c r="U342" s="13">
        <f t="shared" si="28"/>
        <v>9.1162020602069999E-4</v>
      </c>
      <c r="V342" s="12"/>
      <c r="W342" s="13">
        <f t="shared" si="29"/>
        <v>1.3679269811523046E-3</v>
      </c>
    </row>
    <row r="343" spans="15:23" x14ac:dyDescent="0.25">
      <c r="O343" s="1">
        <f t="shared" si="30"/>
        <v>1166</v>
      </c>
      <c r="Q343" s="12">
        <f t="shared" si="26"/>
        <v>2.0561043519072861E-6</v>
      </c>
      <c r="S343" s="13">
        <f t="shared" si="27"/>
        <v>2.3974176743238955E-3</v>
      </c>
      <c r="U343" s="13">
        <f t="shared" si="28"/>
        <v>9.2524695835827871E-4</v>
      </c>
      <c r="V343" s="12"/>
      <c r="W343" s="13">
        <f t="shared" si="29"/>
        <v>1.3864381676777485E-3</v>
      </c>
    </row>
    <row r="344" spans="15:23" x14ac:dyDescent="0.25">
      <c r="O344" s="1">
        <f t="shared" si="30"/>
        <v>1165</v>
      </c>
      <c r="Q344" s="12">
        <f t="shared" si="26"/>
        <v>2.0868343976527696E-6</v>
      </c>
      <c r="S344" s="13">
        <f t="shared" si="27"/>
        <v>2.4311620732654768E-3</v>
      </c>
      <c r="U344" s="13">
        <f t="shared" si="28"/>
        <v>9.3907547894374625E-4</v>
      </c>
      <c r="V344" s="12"/>
      <c r="W344" s="13">
        <f t="shared" si="29"/>
        <v>1.4051942355687145E-3</v>
      </c>
    </row>
    <row r="345" spans="15:23" x14ac:dyDescent="0.25">
      <c r="O345" s="1">
        <f t="shared" si="30"/>
        <v>1164</v>
      </c>
      <c r="Q345" s="12">
        <f t="shared" si="26"/>
        <v>2.1180193574900747E-6</v>
      </c>
      <c r="S345" s="13">
        <f t="shared" si="27"/>
        <v>2.4653745321184472E-3</v>
      </c>
      <c r="U345" s="13">
        <f t="shared" si="28"/>
        <v>9.5310871087053359E-4</v>
      </c>
      <c r="V345" s="12"/>
      <c r="W345" s="13">
        <f t="shared" si="29"/>
        <v>1.4241983158029422E-3</v>
      </c>
    </row>
    <row r="346" spans="15:23" x14ac:dyDescent="0.25">
      <c r="O346" s="1">
        <f t="shared" si="30"/>
        <v>1163</v>
      </c>
      <c r="Q346" s="12">
        <f t="shared" si="26"/>
        <v>2.1496658648779668E-6</v>
      </c>
      <c r="S346" s="13">
        <f t="shared" si="27"/>
        <v>2.5000614008530752E-3</v>
      </c>
      <c r="U346" s="13">
        <f t="shared" si="28"/>
        <v>9.6734963919508504E-4</v>
      </c>
      <c r="V346" s="12"/>
      <c r="W346" s="13">
        <f t="shared" si="29"/>
        <v>1.4434535773369293E-3</v>
      </c>
    </row>
    <row r="347" spans="15:23" x14ac:dyDescent="0.25">
      <c r="O347" s="1">
        <f t="shared" si="30"/>
        <v>1162</v>
      </c>
      <c r="Q347" s="12">
        <f t="shared" si="26"/>
        <v>2.1817806478109678E-6</v>
      </c>
      <c r="S347" s="13">
        <f t="shared" si="27"/>
        <v>2.5352291127563446E-3</v>
      </c>
      <c r="U347" s="13">
        <f t="shared" si="28"/>
        <v>9.8180129151493548E-4</v>
      </c>
      <c r="V347" s="12"/>
      <c r="W347" s="13">
        <f t="shared" si="29"/>
        <v>1.4629632275282114E-3</v>
      </c>
    </row>
    <row r="348" spans="15:23" x14ac:dyDescent="0.25">
      <c r="O348" s="1">
        <f t="shared" si="30"/>
        <v>1161</v>
      </c>
      <c r="Q348" s="12">
        <f t="shared" si="26"/>
        <v>2.2143705301203824E-6</v>
      </c>
      <c r="S348" s="13">
        <f t="shared" si="27"/>
        <v>2.570884185469764E-3</v>
      </c>
      <c r="U348" s="13">
        <f t="shared" si="28"/>
        <v>9.9646673855417213E-4</v>
      </c>
      <c r="V348" s="12"/>
      <c r="W348" s="13">
        <f t="shared" si="29"/>
        <v>1.482730512561366E-3</v>
      </c>
    </row>
    <row r="349" spans="15:23" x14ac:dyDescent="0.25">
      <c r="O349" s="1">
        <f t="shared" si="30"/>
        <v>1160</v>
      </c>
      <c r="Q349" s="12">
        <f t="shared" si="26"/>
        <v>2.2474424327926353E-6</v>
      </c>
      <c r="S349" s="13">
        <f t="shared" si="27"/>
        <v>2.6070332220394571E-3</v>
      </c>
      <c r="U349" s="13">
        <f t="shared" si="28"/>
        <v>1.0113490947566859E-3</v>
      </c>
      <c r="V349" s="12"/>
      <c r="W349" s="13">
        <f t="shared" si="29"/>
        <v>1.5027587178782478E-3</v>
      </c>
    </row>
    <row r="350" spans="15:23" x14ac:dyDescent="0.25">
      <c r="O350" s="1">
        <f t="shared" si="30"/>
        <v>1159</v>
      </c>
      <c r="Q350" s="12">
        <f t="shared" si="26"/>
        <v>2.2810033753046366E-6</v>
      </c>
      <c r="S350" s="13">
        <f t="shared" si="27"/>
        <v>2.6436829119780739E-3</v>
      </c>
      <c r="U350" s="13">
        <f t="shared" si="28"/>
        <v>1.0264515188870866E-3</v>
      </c>
      <c r="V350" s="12"/>
      <c r="W350" s="13">
        <f t="shared" si="29"/>
        <v>1.5230511686121384E-3</v>
      </c>
    </row>
    <row r="351" spans="15:23" x14ac:dyDescent="0.25">
      <c r="O351" s="1">
        <f t="shared" si="30"/>
        <v>1158</v>
      </c>
      <c r="Q351" s="12">
        <f t="shared" si="26"/>
        <v>2.3150604769763849E-6</v>
      </c>
      <c r="S351" s="13">
        <f t="shared" si="27"/>
        <v>2.6808400323386538E-3</v>
      </c>
      <c r="U351" s="13">
        <f t="shared" si="28"/>
        <v>1.0417772146393731E-3</v>
      </c>
      <c r="V351" s="12"/>
      <c r="W351" s="13">
        <f t="shared" si="29"/>
        <v>1.5436112300258474E-3</v>
      </c>
    </row>
    <row r="352" spans="15:23" x14ac:dyDescent="0.25">
      <c r="O352" s="1">
        <f t="shared" si="30"/>
        <v>1157</v>
      </c>
      <c r="Q352" s="12">
        <f t="shared" si="26"/>
        <v>2.3496209583412852E-6</v>
      </c>
      <c r="S352" s="13">
        <f t="shared" si="27"/>
        <v>2.718511448800867E-3</v>
      </c>
      <c r="U352" s="13">
        <f t="shared" si="28"/>
        <v>1.0573294312535783E-3</v>
      </c>
      <c r="V352" s="12"/>
      <c r="W352" s="13">
        <f t="shared" si="29"/>
        <v>1.5644423079539636E-3</v>
      </c>
    </row>
    <row r="353" spans="15:23" x14ac:dyDescent="0.25">
      <c r="O353" s="1">
        <f t="shared" si="30"/>
        <v>1156</v>
      </c>
      <c r="Q353" s="12">
        <f t="shared" si="26"/>
        <v>2.3846921425343714E-6</v>
      </c>
      <c r="S353" s="13">
        <f t="shared" si="27"/>
        <v>2.7567041167697332E-3</v>
      </c>
      <c r="U353" s="13">
        <f t="shared" si="28"/>
        <v>1.073111464140467E-3</v>
      </c>
      <c r="V353" s="12"/>
      <c r="W353" s="13">
        <f t="shared" si="29"/>
        <v>1.5855478492492689E-3</v>
      </c>
    </row>
    <row r="354" spans="15:23" x14ac:dyDescent="0.25">
      <c r="O354" s="1">
        <f t="shared" si="30"/>
        <v>1155</v>
      </c>
      <c r="Q354" s="12">
        <f t="shared" si="26"/>
        <v>2.4202814566981843E-6</v>
      </c>
      <c r="S354" s="13">
        <f t="shared" si="27"/>
        <v>2.7954250824864029E-3</v>
      </c>
      <c r="U354" s="13">
        <f t="shared" si="28"/>
        <v>1.089126655514183E-3</v>
      </c>
      <c r="V354" s="12"/>
      <c r="W354" s="13">
        <f t="shared" si="29"/>
        <v>1.6069313422330299E-3</v>
      </c>
    </row>
    <row r="355" spans="15:23" x14ac:dyDescent="0.25">
      <c r="O355" s="1">
        <f t="shared" si="30"/>
        <v>1154</v>
      </c>
      <c r="Q355" s="12">
        <f t="shared" si="26"/>
        <v>2.4563964334070171E-6</v>
      </c>
      <c r="S355" s="13">
        <f t="shared" si="27"/>
        <v>2.8346814841516978E-3</v>
      </c>
      <c r="U355" s="13">
        <f t="shared" si="28"/>
        <v>1.1053783950331576E-3</v>
      </c>
      <c r="V355" s="12"/>
      <c r="W355" s="13">
        <f t="shared" si="29"/>
        <v>1.6285963171495225E-3</v>
      </c>
    </row>
    <row r="356" spans="15:23" x14ac:dyDescent="0.25">
      <c r="O356" s="1">
        <f t="shared" si="30"/>
        <v>1153</v>
      </c>
      <c r="Q356" s="12">
        <f t="shared" si="26"/>
        <v>2.4930447121098463E-6</v>
      </c>
      <c r="S356" s="13">
        <f t="shared" si="27"/>
        <v>2.874480553062653E-3</v>
      </c>
      <c r="U356" s="13">
        <f t="shared" si="28"/>
        <v>1.1218701204494309E-3</v>
      </c>
      <c r="V356" s="12"/>
      <c r="W356" s="13">
        <f t="shared" si="29"/>
        <v>1.6505463466248795E-3</v>
      </c>
    </row>
    <row r="357" spans="15:23" x14ac:dyDescent="0.25">
      <c r="O357" s="1">
        <f t="shared" si="30"/>
        <v>1152</v>
      </c>
      <c r="Q357" s="12">
        <f t="shared" si="26"/>
        <v>2.5302340405912855E-6</v>
      </c>
      <c r="S357" s="13">
        <f t="shared" si="27"/>
        <v>2.9148296147611611E-3</v>
      </c>
      <c r="U357" s="13">
        <f t="shared" si="28"/>
        <v>1.1386053182660784E-3</v>
      </c>
      <c r="V357" s="12"/>
      <c r="W357" s="13">
        <f t="shared" si="29"/>
        <v>1.6727850461297018E-3</v>
      </c>
    </row>
    <row r="358" spans="15:23" x14ac:dyDescent="0.25">
      <c r="O358" s="1">
        <f t="shared" si="30"/>
        <v>1151</v>
      </c>
      <c r="Q358" s="12">
        <f t="shared" si="26"/>
        <v>2.5679722764520543E-6</v>
      </c>
      <c r="S358" s="13">
        <f t="shared" si="27"/>
        <v>2.9557360901963144E-3</v>
      </c>
      <c r="U358" s="13">
        <f t="shared" si="28"/>
        <v>1.1555875244034244E-3</v>
      </c>
      <c r="V358" s="12"/>
      <c r="W358" s="13">
        <f t="shared" si="29"/>
        <v>1.6953160744462954E-3</v>
      </c>
    </row>
    <row r="359" spans="15:23" x14ac:dyDescent="0.25">
      <c r="O359" s="1">
        <f t="shared" si="30"/>
        <v>1150</v>
      </c>
      <c r="Q359" s="12">
        <f t="shared" si="26"/>
        <v>2.606267388607967E-6</v>
      </c>
      <c r="S359" s="13">
        <f t="shared" si="27"/>
        <v>2.997207496899162E-3</v>
      </c>
      <c r="U359" s="13">
        <f t="shared" si="28"/>
        <v>1.172820324873585E-3</v>
      </c>
      <c r="V359" s="12"/>
      <c r="W359" s="13">
        <f t="shared" si="29"/>
        <v>1.7181431341397541E-3</v>
      </c>
    </row>
    <row r="360" spans="15:23" x14ac:dyDescent="0.25">
      <c r="O360" s="1">
        <f t="shared" si="30"/>
        <v>1149</v>
      </c>
      <c r="Q360" s="12">
        <f t="shared" si="26"/>
        <v>2.6451274588086219E-6</v>
      </c>
      <c r="S360" s="13">
        <f t="shared" si="27"/>
        <v>3.0392514501711063E-3</v>
      </c>
      <c r="U360" s="13">
        <f t="shared" si="28"/>
        <v>1.1903073564638799E-3</v>
      </c>
      <c r="V360" s="12"/>
      <c r="W360" s="13">
        <f t="shared" si="29"/>
        <v>1.7412699720335376E-3</v>
      </c>
    </row>
    <row r="361" spans="15:23" x14ac:dyDescent="0.25">
      <c r="O361" s="1">
        <f t="shared" si="30"/>
        <v>1148</v>
      </c>
      <c r="Q361" s="12">
        <f t="shared" si="26"/>
        <v>2.6845606831752629E-6</v>
      </c>
      <c r="S361" s="13">
        <f t="shared" si="27"/>
        <v>3.0818756642852019E-3</v>
      </c>
      <c r="U361" s="13">
        <f t="shared" si="28"/>
        <v>1.2080523074288682E-3</v>
      </c>
      <c r="V361" s="12"/>
      <c r="W361" s="13">
        <f t="shared" si="29"/>
        <v>1.7647003796890763E-3</v>
      </c>
    </row>
    <row r="362" spans="15:23" x14ac:dyDescent="0.25">
      <c r="O362" s="1">
        <f t="shared" si="30"/>
        <v>1147</v>
      </c>
      <c r="Q362" s="12">
        <f t="shared" si="26"/>
        <v>2.7245753737586218E-6</v>
      </c>
      <c r="S362" s="13">
        <f t="shared" si="27"/>
        <v>3.1250879537011392E-3</v>
      </c>
      <c r="U362" s="13">
        <f t="shared" si="28"/>
        <v>1.2260589181913798E-3</v>
      </c>
      <c r="V362" s="12"/>
      <c r="W362" s="13">
        <f t="shared" si="29"/>
        <v>1.7884381938897942E-3</v>
      </c>
    </row>
    <row r="363" spans="15:23" x14ac:dyDescent="0.25">
      <c r="O363" s="1">
        <f t="shared" si="30"/>
        <v>1146</v>
      </c>
      <c r="Q363" s="12">
        <f t="shared" si="26"/>
        <v>2.7651799601167723E-6</v>
      </c>
      <c r="S363" s="13">
        <f t="shared" si="27"/>
        <v>3.1688962342938209E-3</v>
      </c>
      <c r="U363" s="13">
        <f t="shared" si="28"/>
        <v>1.2443309820525474E-3</v>
      </c>
      <c r="V363" s="12"/>
      <c r="W363" s="13">
        <f t="shared" si="29"/>
        <v>1.8124872971294549E-3</v>
      </c>
    </row>
    <row r="364" spans="15:23" x14ac:dyDescent="0.25">
      <c r="O364" s="1">
        <f t="shared" si="30"/>
        <v>1145</v>
      </c>
      <c r="Q364" s="12">
        <f t="shared" si="26"/>
        <v>2.8063829909128693E-6</v>
      </c>
      <c r="S364" s="13">
        <f t="shared" si="27"/>
        <v>3.2133085245952355E-3</v>
      </c>
      <c r="U364" s="13">
        <f t="shared" si="28"/>
        <v>1.2628723459107913E-3</v>
      </c>
      <c r="V364" s="12"/>
      <c r="W364" s="13">
        <f t="shared" si="29"/>
        <v>1.8368516181046001E-3</v>
      </c>
    </row>
    <row r="365" spans="15:23" x14ac:dyDescent="0.25">
      <c r="O365" s="1">
        <f t="shared" si="30"/>
        <v>1144</v>
      </c>
      <c r="Q365" s="12">
        <f t="shared" si="26"/>
        <v>2.8481931355336065E-6</v>
      </c>
      <c r="S365" s="13">
        <f t="shared" si="27"/>
        <v>3.2583329470504459E-3</v>
      </c>
      <c r="U365" s="13">
        <f t="shared" si="28"/>
        <v>1.2816869109901229E-3</v>
      </c>
      <c r="V365" s="12"/>
      <c r="W365" s="13">
        <f t="shared" si="29"/>
        <v>1.8615351322115042E-3</v>
      </c>
    </row>
    <row r="366" spans="15:23" x14ac:dyDescent="0.25">
      <c r="O366" s="1">
        <f t="shared" si="30"/>
        <v>1143</v>
      </c>
      <c r="Q366" s="12">
        <f t="shared" si="26"/>
        <v>2.8906191857282145E-6</v>
      </c>
      <c r="S366" s="13">
        <f t="shared" si="27"/>
        <v>3.3039777292873493E-3</v>
      </c>
      <c r="U366" s="13">
        <f t="shared" si="28"/>
        <v>1.3007786335776964E-3</v>
      </c>
      <c r="V366" s="12"/>
      <c r="W366" s="13">
        <f t="shared" si="29"/>
        <v>1.8865418620473899E-3</v>
      </c>
    </row>
    <row r="367" spans="15:23" x14ac:dyDescent="0.25">
      <c r="O367" s="1">
        <f t="shared" si="30"/>
        <v>1142</v>
      </c>
      <c r="Q367" s="12">
        <f t="shared" si="26"/>
        <v>2.9336700572683837E-6</v>
      </c>
      <c r="S367" s="13">
        <f t="shared" si="27"/>
        <v>3.3502512054004942E-3</v>
      </c>
      <c r="U367" s="13">
        <f t="shared" si="28"/>
        <v>1.3201515257707727E-3</v>
      </c>
      <c r="V367" s="12"/>
      <c r="W367" s="13">
        <f t="shared" si="29"/>
        <v>1.9118758779160174E-3</v>
      </c>
    </row>
    <row r="368" spans="15:23" x14ac:dyDescent="0.25">
      <c r="O368" s="1">
        <f t="shared" si="30"/>
        <v>1141</v>
      </c>
      <c r="Q368" s="12">
        <f t="shared" si="26"/>
        <v>2.9773547916295184E-6</v>
      </c>
      <c r="S368" s="13">
        <f t="shared" si="27"/>
        <v>3.3971618172492805E-3</v>
      </c>
      <c r="U368" s="13">
        <f t="shared" si="28"/>
        <v>1.3398096562332832E-3</v>
      </c>
      <c r="V368" s="12"/>
      <c r="W368" s="13">
        <f t="shared" si="29"/>
        <v>1.9375412983377771E-3</v>
      </c>
    </row>
    <row r="369" spans="15:23" x14ac:dyDescent="0.25">
      <c r="O369" s="1">
        <f t="shared" si="30"/>
        <v>1140</v>
      </c>
      <c r="Q369" s="12">
        <f t="shared" si="26"/>
        <v>3.021682557692875E-6</v>
      </c>
      <c r="S369" s="13">
        <f t="shared" si="27"/>
        <v>3.4447181157698775E-3</v>
      </c>
      <c r="U369" s="13">
        <f t="shared" si="28"/>
        <v>1.3597571509617937E-3</v>
      </c>
      <c r="V369" s="12"/>
      <c r="W369" s="13">
        <f t="shared" si="29"/>
        <v>1.9635422905638499E-3</v>
      </c>
    </row>
    <row r="370" spans="15:23" x14ac:dyDescent="0.25">
      <c r="O370" s="1">
        <f t="shared" si="30"/>
        <v>1139</v>
      </c>
      <c r="Q370" s="12">
        <f t="shared" si="26"/>
        <v>3.0666626534699599E-6</v>
      </c>
      <c r="S370" s="13">
        <f t="shared" si="27"/>
        <v>3.4929287623022844E-3</v>
      </c>
      <c r="U370" s="13">
        <f t="shared" si="28"/>
        <v>1.3799981940614818E-3</v>
      </c>
      <c r="V370" s="12"/>
      <c r="W370" s="13">
        <f t="shared" si="29"/>
        <v>1.9898830710952009E-3</v>
      </c>
    </row>
    <row r="371" spans="15:23" x14ac:dyDescent="0.25">
      <c r="O371" s="1">
        <f t="shared" si="30"/>
        <v>1138</v>
      </c>
      <c r="Q371" s="12">
        <f t="shared" si="26"/>
        <v>3.1123045078481775E-6</v>
      </c>
      <c r="S371" s="13">
        <f t="shared" si="27"/>
        <v>3.5418025299312258E-3</v>
      </c>
      <c r="U371" s="13">
        <f t="shared" si="28"/>
        <v>1.4005370285316799E-3</v>
      </c>
      <c r="V371" s="12"/>
      <c r="W371" s="13">
        <f t="shared" si="29"/>
        <v>2.0165679062055858E-3</v>
      </c>
    </row>
    <row r="372" spans="15:23" x14ac:dyDescent="0.25">
      <c r="O372" s="1">
        <f t="shared" si="30"/>
        <v>1137</v>
      </c>
      <c r="Q372" s="12">
        <f t="shared" si="26"/>
        <v>3.1586176823591993E-6</v>
      </c>
      <c r="S372" s="13">
        <f t="shared" si="27"/>
        <v>3.5913483048424094E-3</v>
      </c>
      <c r="U372" s="13">
        <f t="shared" si="28"/>
        <v>1.4213779570616397E-3</v>
      </c>
      <c r="V372" s="12"/>
      <c r="W372" s="13">
        <f t="shared" si="29"/>
        <v>2.0436011124694065E-3</v>
      </c>
    </row>
    <row r="373" spans="15:23" x14ac:dyDescent="0.25">
      <c r="O373" s="1">
        <f t="shared" si="30"/>
        <v>1136</v>
      </c>
      <c r="Q373" s="12">
        <f t="shared" si="26"/>
        <v>3.2056118729692307E-6</v>
      </c>
      <c r="S373" s="13">
        <f t="shared" si="27"/>
        <v>3.6415750876930462E-3</v>
      </c>
      <c r="U373" s="13">
        <f t="shared" si="28"/>
        <v>1.4425253428361538E-3</v>
      </c>
      <c r="V373" s="12"/>
      <c r="W373" s="13">
        <f t="shared" si="29"/>
        <v>2.0709870572937121E-3</v>
      </c>
    </row>
    <row r="374" spans="15:23" x14ac:dyDescent="0.25">
      <c r="O374" s="1">
        <f t="shared" si="30"/>
        <v>1135</v>
      </c>
      <c r="Q374" s="12">
        <f t="shared" si="26"/>
        <v>3.2532969118921122E-6</v>
      </c>
      <c r="S374" s="13">
        <f t="shared" si="27"/>
        <v>3.6924919949975475E-3</v>
      </c>
      <c r="U374" s="13">
        <f t="shared" si="28"/>
        <v>1.4639836103514505E-3</v>
      </c>
      <c r="V374" s="12"/>
      <c r="W374" s="13">
        <f t="shared" si="29"/>
        <v>2.0987301594548187E-3</v>
      </c>
    </row>
    <row r="375" spans="15:23" x14ac:dyDescent="0.25">
      <c r="O375" s="1">
        <f t="shared" si="30"/>
        <v>1134</v>
      </c>
      <c r="Q375" s="12">
        <f t="shared" si="26"/>
        <v>3.3016827694253073E-6</v>
      </c>
      <c r="S375" s="13">
        <f t="shared" si="27"/>
        <v>3.7441082605282985E-3</v>
      </c>
      <c r="U375" s="13">
        <f t="shared" si="28"/>
        <v>1.4857572462413883E-3</v>
      </c>
      <c r="V375" s="12"/>
      <c r="W375" s="13">
        <f t="shared" si="29"/>
        <v>2.126834889639427E-3</v>
      </c>
    </row>
    <row r="376" spans="15:23" x14ac:dyDescent="0.25">
      <c r="O376" s="1">
        <f t="shared" si="30"/>
        <v>1133</v>
      </c>
      <c r="Q376" s="12">
        <f t="shared" si="26"/>
        <v>3.3507795558087447E-6</v>
      </c>
      <c r="S376" s="13">
        <f t="shared" si="27"/>
        <v>3.7964332367313078E-3</v>
      </c>
      <c r="U376" s="13">
        <f t="shared" si="28"/>
        <v>1.5078508001139352E-3</v>
      </c>
      <c r="V376" s="12"/>
      <c r="W376" s="13">
        <f t="shared" si="29"/>
        <v>2.1553057709900632E-3</v>
      </c>
    </row>
    <row r="377" spans="15:23" x14ac:dyDescent="0.25">
      <c r="O377" s="1">
        <f t="shared" si="30"/>
        <v>1132</v>
      </c>
      <c r="Q377" s="12">
        <f t="shared" si="26"/>
        <v>3.4005975231076906E-6</v>
      </c>
      <c r="S377" s="13">
        <f t="shared" si="27"/>
        <v>3.8494763961579056E-3</v>
      </c>
      <c r="U377" s="13">
        <f t="shared" si="28"/>
        <v>1.5302688853984607E-3</v>
      </c>
      <c r="V377" s="12"/>
      <c r="W377" s="13">
        <f t="shared" si="29"/>
        <v>2.1841473796554551E-3</v>
      </c>
    </row>
    <row r="378" spans="15:23" x14ac:dyDescent="0.25">
      <c r="O378" s="1">
        <f t="shared" si="30"/>
        <v>1131</v>
      </c>
      <c r="Q378" s="12">
        <f t="shared" si="26"/>
        <v>3.4511470671184673E-6</v>
      </c>
      <c r="S378" s="13">
        <f t="shared" si="27"/>
        <v>3.9032473329109864E-3</v>
      </c>
      <c r="U378" s="13">
        <f t="shared" si="28"/>
        <v>1.5530161802033103E-3</v>
      </c>
      <c r="V378" s="12"/>
      <c r="W378" s="13">
        <f t="shared" si="29"/>
        <v>2.2133643453449156E-3</v>
      </c>
    </row>
    <row r="379" spans="15:23" x14ac:dyDescent="0.25">
      <c r="O379" s="1">
        <f t="shared" si="30"/>
        <v>1130</v>
      </c>
      <c r="Q379" s="12">
        <f t="shared" si="26"/>
        <v>3.5024387292987349E-6</v>
      </c>
      <c r="S379" s="13">
        <f t="shared" si="27"/>
        <v>3.9577557641075701E-3</v>
      </c>
      <c r="U379" s="13">
        <f t="shared" si="28"/>
        <v>1.5760974281844307E-3</v>
      </c>
      <c r="V379" s="12"/>
      <c r="W379" s="13">
        <f t="shared" si="29"/>
        <v>2.2429613518876929E-3</v>
      </c>
    </row>
    <row r="380" spans="15:23" x14ac:dyDescent="0.25">
      <c r="O380" s="1">
        <f t="shared" si="30"/>
        <v>1129</v>
      </c>
      <c r="Q380" s="12">
        <f t="shared" si="26"/>
        <v>3.5544831987213407E-6</v>
      </c>
      <c r="S380" s="13">
        <f t="shared" si="27"/>
        <v>4.0130115313563933E-3</v>
      </c>
      <c r="U380" s="13">
        <f t="shared" si="28"/>
        <v>1.5995174394246034E-3</v>
      </c>
      <c r="V380" s="12"/>
      <c r="W380" s="13">
        <f t="shared" si="29"/>
        <v>2.272943137796482E-3</v>
      </c>
    </row>
    <row r="381" spans="15:23" x14ac:dyDescent="0.25">
      <c r="O381" s="1">
        <f t="shared" si="30"/>
        <v>1128</v>
      </c>
      <c r="Q381" s="12">
        <f t="shared" si="26"/>
        <v>3.607291314053415E-6</v>
      </c>
      <c r="S381" s="13">
        <f t="shared" si="27"/>
        <v>4.0690246022522525E-3</v>
      </c>
      <c r="U381" s="13">
        <f t="shared" si="28"/>
        <v>1.6232810913240367E-3</v>
      </c>
      <c r="V381" s="12"/>
      <c r="W381" s="13">
        <f t="shared" si="29"/>
        <v>2.3033144968360141E-3</v>
      </c>
    </row>
    <row r="382" spans="15:23" x14ac:dyDescent="0.25">
      <c r="O382" s="1">
        <f t="shared" si="30"/>
        <v>1127</v>
      </c>
      <c r="Q382" s="12">
        <f t="shared" si="26"/>
        <v>3.6608740655595078E-6</v>
      </c>
      <c r="S382" s="13">
        <f t="shared" si="27"/>
        <v>4.125805071885565E-3</v>
      </c>
      <c r="U382" s="13">
        <f t="shared" si="28"/>
        <v>1.6473933295017785E-3</v>
      </c>
      <c r="V382" s="12"/>
      <c r="W382" s="13">
        <f t="shared" si="29"/>
        <v>2.3340802785957915E-3</v>
      </c>
    </row>
    <row r="383" spans="15:23" x14ac:dyDescent="0.25">
      <c r="O383" s="1">
        <f t="shared" si="30"/>
        <v>1126</v>
      </c>
      <c r="Q383" s="12">
        <f t="shared" si="26"/>
        <v>3.7152425971298E-6</v>
      </c>
      <c r="S383" s="13">
        <f t="shared" si="27"/>
        <v>4.1833631643681552E-3</v>
      </c>
      <c r="U383" s="13">
        <f t="shared" si="28"/>
        <v>1.67185916870841E-3</v>
      </c>
      <c r="V383" s="12"/>
      <c r="W383" s="13">
        <f t="shared" si="29"/>
        <v>2.3652453890674768E-3</v>
      </c>
    </row>
    <row r="384" spans="15:23" x14ac:dyDescent="0.25">
      <c r="O384" s="1">
        <f t="shared" si="30"/>
        <v>1125</v>
      </c>
      <c r="Q384" s="12">
        <f t="shared" si="26"/>
        <v>3.7704082083339462E-6</v>
      </c>
      <c r="S384" s="13">
        <f t="shared" si="27"/>
        <v>4.2417092343756896E-3</v>
      </c>
      <c r="U384" s="13">
        <f t="shared" si="28"/>
        <v>1.6966836937502758E-3</v>
      </c>
      <c r="V384" s="12"/>
      <c r="W384" s="13">
        <f t="shared" si="29"/>
        <v>2.3968147912270931E-3</v>
      </c>
    </row>
    <row r="385" spans="15:23" x14ac:dyDescent="0.25">
      <c r="O385" s="1">
        <f t="shared" si="30"/>
        <v>1124</v>
      </c>
      <c r="Q385" s="12">
        <f t="shared" si="26"/>
        <v>3.8263823565000258E-6</v>
      </c>
      <c r="S385" s="13">
        <f t="shared" si="27"/>
        <v>4.3008537687060288E-3</v>
      </c>
      <c r="U385" s="13">
        <f t="shared" si="28"/>
        <v>1.7218720604250117E-3</v>
      </c>
      <c r="V385" s="12"/>
      <c r="W385" s="13">
        <f t="shared" si="29"/>
        <v>2.4287935056215813E-3</v>
      </c>
    </row>
    <row r="386" spans="15:23" x14ac:dyDescent="0.25">
      <c r="O386" s="1">
        <f t="shared" si="30"/>
        <v>1123</v>
      </c>
      <c r="Q386" s="12">
        <f t="shared" si="26"/>
        <v>3.8831766588195774E-6</v>
      </c>
      <c r="S386" s="13">
        <f t="shared" si="27"/>
        <v>4.3608073878543853E-3</v>
      </c>
      <c r="U386" s="13">
        <f t="shared" si="28"/>
        <v>1.7474294964688099E-3</v>
      </c>
      <c r="V386" s="12"/>
      <c r="W386" s="13">
        <f t="shared" si="29"/>
        <v>2.4611866109601243E-3</v>
      </c>
    </row>
    <row r="387" spans="15:23" x14ac:dyDescent="0.25">
      <c r="O387" s="1">
        <f t="shared" si="30"/>
        <v>1122</v>
      </c>
      <c r="Q387" s="12">
        <f t="shared" si="26"/>
        <v>3.9408028944786991E-6</v>
      </c>
      <c r="S387" s="13">
        <f t="shared" si="27"/>
        <v>4.4215808476051003E-3</v>
      </c>
      <c r="U387" s="13">
        <f t="shared" si="28"/>
        <v>1.7733613025154146E-3</v>
      </c>
      <c r="V387" s="12"/>
      <c r="W387" s="13">
        <f t="shared" si="29"/>
        <v>2.4939992447100788E-3</v>
      </c>
    </row>
    <row r="388" spans="15:23" x14ac:dyDescent="0.25">
      <c r="O388" s="1">
        <f t="shared" si="30"/>
        <v>1121</v>
      </c>
      <c r="Q388" s="12">
        <f t="shared" si="26"/>
        <v>3.9992730068153773E-6</v>
      </c>
      <c r="S388" s="13">
        <f t="shared" si="27"/>
        <v>4.483185040640038E-3</v>
      </c>
      <c r="U388" s="13">
        <f t="shared" si="28"/>
        <v>1.7996728530669198E-3</v>
      </c>
      <c r="V388" s="12"/>
      <c r="W388" s="13">
        <f t="shared" si="29"/>
        <v>2.5272366036974449E-3</v>
      </c>
    </row>
    <row r="389" spans="15:23" x14ac:dyDescent="0.25">
      <c r="O389" s="1">
        <f t="shared" si="30"/>
        <v>1120</v>
      </c>
      <c r="Q389" s="12">
        <f t="shared" si="26"/>
        <v>4.0585991055036916E-6</v>
      </c>
      <c r="S389" s="13">
        <f t="shared" si="27"/>
        <v>4.5456309981641348E-3</v>
      </c>
      <c r="U389" s="13">
        <f t="shared" si="28"/>
        <v>1.8263695974766612E-3</v>
      </c>
      <c r="V389" s="12"/>
      <c r="W389" s="13">
        <f t="shared" si="29"/>
        <v>2.5609039447120892E-3</v>
      </c>
    </row>
    <row r="390" spans="15:23" x14ac:dyDescent="0.25">
      <c r="O390" s="1">
        <f t="shared" si="30"/>
        <v>1119</v>
      </c>
      <c r="Q390" s="12">
        <f t="shared" si="26"/>
        <v>4.1187934687646767E-6</v>
      </c>
      <c r="S390" s="13">
        <f t="shared" si="27"/>
        <v>4.6089298915476728E-3</v>
      </c>
      <c r="U390" s="13">
        <f t="shared" si="28"/>
        <v>1.8534570609441046E-3</v>
      </c>
      <c r="V390" s="12"/>
      <c r="W390" s="13">
        <f t="shared" si="29"/>
        <v>2.5950065851174388E-3</v>
      </c>
    </row>
    <row r="391" spans="15:23" x14ac:dyDescent="0.25">
      <c r="O391" s="1">
        <f t="shared" si="30"/>
        <v>1118</v>
      </c>
      <c r="Q391" s="12">
        <f t="shared" si="26"/>
        <v>4.1798685456047283E-6</v>
      </c>
      <c r="S391" s="13">
        <f t="shared" si="27"/>
        <v>4.6730930339860862E-3</v>
      </c>
      <c r="U391" s="13">
        <f t="shared" si="28"/>
        <v>1.8809408455221278E-3</v>
      </c>
      <c r="V391" s="12"/>
      <c r="W391" s="13">
        <f t="shared" si="29"/>
        <v>2.6295499034649991E-3</v>
      </c>
    </row>
    <row r="392" spans="15:23" x14ac:dyDescent="0.25">
      <c r="O392" s="1">
        <f t="shared" si="30"/>
        <v>1117</v>
      </c>
      <c r="Q392" s="12">
        <f t="shared" si="26"/>
        <v>4.241836958081439E-6</v>
      </c>
      <c r="S392" s="13">
        <f t="shared" si="27"/>
        <v>4.7381318821769674E-3</v>
      </c>
      <c r="U392" s="13">
        <f t="shared" si="28"/>
        <v>1.9088266311366475E-3</v>
      </c>
      <c r="V392" s="12"/>
      <c r="W392" s="13">
        <f t="shared" si="29"/>
        <v>2.6645393401134526E-3</v>
      </c>
    </row>
    <row r="393" spans="15:23" x14ac:dyDescent="0.25">
      <c r="O393" s="1">
        <f t="shared" si="30"/>
        <v>1116</v>
      </c>
      <c r="Q393" s="12">
        <f t="shared" si="26"/>
        <v>4.3047115035972111E-6</v>
      </c>
      <c r="S393" s="13">
        <f t="shared" si="27"/>
        <v>4.8040580380144873E-3</v>
      </c>
      <c r="U393" s="13">
        <f t="shared" si="28"/>
        <v>1.9371201766187451E-3</v>
      </c>
      <c r="V393" s="12"/>
      <c r="W393" s="13">
        <f t="shared" si="29"/>
        <v>2.6999803978523845E-3</v>
      </c>
    </row>
    <row r="394" spans="15:23" x14ac:dyDescent="0.25">
      <c r="O394" s="1">
        <f t="shared" si="30"/>
        <v>1115</v>
      </c>
      <c r="Q394" s="12">
        <f t="shared" ref="Q394:Q457" si="31">_xlfn.LOGNORM.DIST(O394,$D$25,$D$26,FALSE)</f>
        <v>4.3685051572207772E-6</v>
      </c>
      <c r="S394" s="13">
        <f t="shared" ref="S394:S457" si="32">IF(O394&gt;$D$6,O394*Q394,0)</f>
        <v>4.8708832503011664E-3</v>
      </c>
      <c r="U394" s="13">
        <f t="shared" ref="U394:U457" si="33">IF(O394&gt;$D$6,$D$6*Q394,0)</f>
        <v>1.9658273207493497E-3</v>
      </c>
      <c r="V394" s="12"/>
      <c r="W394" s="13">
        <f t="shared" ref="W394:W457" si="34">(S394-U394)*EXP(-$D$9*$D$7)</f>
        <v>2.7358786425305229E-3</v>
      </c>
    </row>
    <row r="395" spans="15:23" x14ac:dyDescent="0.25">
      <c r="O395" s="1">
        <f t="shared" ref="O395:O458" si="35">O394-1</f>
        <v>1114</v>
      </c>
      <c r="Q395" s="12">
        <f t="shared" si="31"/>
        <v>4.4332310740378167E-6</v>
      </c>
      <c r="S395" s="13">
        <f t="shared" si="32"/>
        <v>4.938619416478128E-3</v>
      </c>
      <c r="U395" s="13">
        <f t="shared" si="33"/>
        <v>1.9949539833170175E-3</v>
      </c>
      <c r="V395" s="12"/>
      <c r="W395" s="13">
        <f t="shared" si="34"/>
        <v>2.7722397036890486E-3</v>
      </c>
    </row>
    <row r="396" spans="15:23" x14ac:dyDescent="0.25">
      <c r="O396" s="1">
        <f t="shared" si="35"/>
        <v>1113</v>
      </c>
      <c r="Q396" s="12">
        <f t="shared" si="31"/>
        <v>4.4989025915294845E-6</v>
      </c>
      <c r="S396" s="13">
        <f t="shared" si="32"/>
        <v>5.0072785843723166E-3</v>
      </c>
      <c r="U396" s="13">
        <f t="shared" si="33"/>
        <v>2.0245061661882681E-3</v>
      </c>
      <c r="V396" s="12"/>
      <c r="W396" s="13">
        <f t="shared" si="34"/>
        <v>2.8090692751990619E-3</v>
      </c>
    </row>
    <row r="397" spans="15:23" x14ac:dyDescent="0.25">
      <c r="O397" s="1">
        <f t="shared" si="35"/>
        <v>1112</v>
      </c>
      <c r="Q397" s="12">
        <f t="shared" si="31"/>
        <v>4.5655332319804234E-6</v>
      </c>
      <c r="S397" s="13">
        <f t="shared" si="32"/>
        <v>5.0768729539622309E-3</v>
      </c>
      <c r="U397" s="13">
        <f t="shared" si="33"/>
        <v>2.0544899543911907E-3</v>
      </c>
      <c r="V397" s="12"/>
      <c r="W397" s="13">
        <f t="shared" si="34"/>
        <v>2.8463731159039832E-3</v>
      </c>
    </row>
    <row r="398" spans="15:23" x14ac:dyDescent="0.25">
      <c r="O398" s="1">
        <f t="shared" si="35"/>
        <v>1111</v>
      </c>
      <c r="Q398" s="12">
        <f t="shared" si="31"/>
        <v>4.633136704916011E-6</v>
      </c>
      <c r="S398" s="13">
        <f t="shared" si="32"/>
        <v>5.1474148791616882E-3</v>
      </c>
      <c r="U398" s="13">
        <f t="shared" si="33"/>
        <v>2.084911517212205E-3</v>
      </c>
      <c r="V398" s="12"/>
      <c r="W398" s="13">
        <f t="shared" si="34"/>
        <v>2.8841570502665488E-3</v>
      </c>
    </row>
    <row r="399" spans="15:23" x14ac:dyDescent="0.25">
      <c r="O399" s="1">
        <f t="shared" si="35"/>
        <v>1110</v>
      </c>
      <c r="Q399" s="12">
        <f t="shared" si="31"/>
        <v>4.7017269095693572E-6</v>
      </c>
      <c r="S399" s="13">
        <f t="shared" si="32"/>
        <v>5.2189168696219869E-3</v>
      </c>
      <c r="U399" s="13">
        <f t="shared" si="33"/>
        <v>2.1157771093062109E-3</v>
      </c>
      <c r="V399" s="12"/>
      <c r="W399" s="13">
        <f t="shared" si="34"/>
        <v>2.9224269690205241E-3</v>
      </c>
    </row>
    <row r="400" spans="15:23" x14ac:dyDescent="0.25">
      <c r="O400" s="1">
        <f t="shared" si="35"/>
        <v>1109</v>
      </c>
      <c r="Q400" s="12">
        <f t="shared" si="31"/>
        <v>4.771317937377745E-6</v>
      </c>
      <c r="S400" s="13">
        <f t="shared" si="32"/>
        <v>5.2913915925519193E-3</v>
      </c>
      <c r="U400" s="13">
        <f t="shared" si="33"/>
        <v>2.1470930718199854E-3</v>
      </c>
      <c r="V400" s="12"/>
      <c r="W400" s="13">
        <f t="shared" si="34"/>
        <v>2.9611888298267529E-3</v>
      </c>
    </row>
    <row r="401" spans="15:23" x14ac:dyDescent="0.25">
      <c r="O401" s="1">
        <f t="shared" si="35"/>
        <v>1108</v>
      </c>
      <c r="Q401" s="12">
        <f t="shared" si="31"/>
        <v>4.8419240745102239E-6</v>
      </c>
      <c r="S401" s="13">
        <f t="shared" si="32"/>
        <v>5.3648518745573279E-3</v>
      </c>
      <c r="U401" s="13">
        <f t="shared" si="33"/>
        <v>2.1788658335296007E-3</v>
      </c>
      <c r="V401" s="12"/>
      <c r="W401" s="13">
        <f t="shared" si="34"/>
        <v>3.0004486579344046E-3</v>
      </c>
    </row>
    <row r="402" spans="15:23" x14ac:dyDescent="0.25">
      <c r="O402" s="1">
        <f t="shared" si="35"/>
        <v>1107</v>
      </c>
      <c r="Q402" s="12">
        <f t="shared" si="31"/>
        <v>4.9135598044247347E-6</v>
      </c>
      <c r="S402" s="13">
        <f t="shared" si="32"/>
        <v>5.4393107034981809E-3</v>
      </c>
      <c r="U402" s="13">
        <f t="shared" si="33"/>
        <v>2.2111019119911307E-3</v>
      </c>
      <c r="V402" s="12"/>
      <c r="W402" s="13">
        <f t="shared" si="34"/>
        <v>3.0402125468462085E-3</v>
      </c>
    </row>
    <row r="403" spans="15:23" x14ac:dyDescent="0.25">
      <c r="O403" s="1">
        <f t="shared" si="35"/>
        <v>1106</v>
      </c>
      <c r="Q403" s="12">
        <f t="shared" si="31"/>
        <v>4.9862398104569082E-6</v>
      </c>
      <c r="S403" s="13">
        <f t="shared" si="32"/>
        <v>5.5147812303653404E-3</v>
      </c>
      <c r="U403" s="13">
        <f t="shared" si="33"/>
        <v>2.2438079147056086E-3</v>
      </c>
      <c r="V403" s="12"/>
      <c r="W403" s="13">
        <f t="shared" si="34"/>
        <v>3.0804866589888109E-3</v>
      </c>
    </row>
    <row r="404" spans="15:23" x14ac:dyDescent="0.25">
      <c r="O404" s="1">
        <f t="shared" si="35"/>
        <v>1105</v>
      </c>
      <c r="Q404" s="12">
        <f t="shared" si="31"/>
        <v>5.0599789784397147E-6</v>
      </c>
      <c r="S404" s="13">
        <f t="shared" si="32"/>
        <v>5.5912767711758845E-3</v>
      </c>
      <c r="U404" s="13">
        <f t="shared" si="33"/>
        <v>2.2769905402978716E-3</v>
      </c>
      <c r="V404" s="12"/>
      <c r="W404" s="13">
        <f t="shared" si="34"/>
        <v>3.1212772263875294E-3</v>
      </c>
    </row>
    <row r="405" spans="15:23" x14ac:dyDescent="0.25">
      <c r="O405" s="1">
        <f t="shared" si="35"/>
        <v>1104</v>
      </c>
      <c r="Q405" s="12">
        <f t="shared" si="31"/>
        <v>5.1347923993545659E-6</v>
      </c>
      <c r="S405" s="13">
        <f t="shared" si="32"/>
        <v>5.6688108088874404E-3</v>
      </c>
      <c r="U405" s="13">
        <f t="shared" si="33"/>
        <v>2.3106565797095546E-3</v>
      </c>
      <c r="V405" s="12"/>
      <c r="W405" s="13">
        <f t="shared" si="34"/>
        <v>3.1625905513456838E-3</v>
      </c>
    </row>
    <row r="406" spans="15:23" x14ac:dyDescent="0.25">
      <c r="O406" s="1">
        <f t="shared" si="35"/>
        <v>1103</v>
      </c>
      <c r="Q406" s="12">
        <f t="shared" si="31"/>
        <v>5.2106953720145076E-6</v>
      </c>
      <c r="S406" s="13">
        <f t="shared" si="32"/>
        <v>5.7473969953320018E-3</v>
      </c>
      <c r="U406" s="13">
        <f t="shared" si="33"/>
        <v>2.3448129174065283E-3</v>
      </c>
      <c r="V406" s="12"/>
      <c r="W406" s="13">
        <f t="shared" si="34"/>
        <v>3.2044330071286744E-3</v>
      </c>
    </row>
    <row r="407" spans="15:23" x14ac:dyDescent="0.25">
      <c r="O407" s="1">
        <f t="shared" si="35"/>
        <v>1102</v>
      </c>
      <c r="Q407" s="12">
        <f t="shared" si="31"/>
        <v>5.2877034057795945E-6</v>
      </c>
      <c r="S407" s="13">
        <f t="shared" si="32"/>
        <v>5.8270491531691128E-3</v>
      </c>
      <c r="U407" s="13">
        <f t="shared" si="33"/>
        <v>2.3794665326008174E-3</v>
      </c>
      <c r="V407" s="12"/>
      <c r="W407" s="13">
        <f t="shared" si="34"/>
        <v>3.2468110386526627E-3</v>
      </c>
    </row>
    <row r="408" spans="15:23" x14ac:dyDescent="0.25">
      <c r="O408" s="1">
        <f t="shared" si="35"/>
        <v>1101</v>
      </c>
      <c r="Q408" s="12">
        <f t="shared" si="31"/>
        <v>5.3658322233039892E-6</v>
      </c>
      <c r="S408" s="13">
        <f t="shared" si="32"/>
        <v>5.9077812778576917E-3</v>
      </c>
      <c r="U408" s="13">
        <f t="shared" si="33"/>
        <v>2.414624500486795E-3</v>
      </c>
      <c r="V408" s="12"/>
      <c r="W408" s="13">
        <f t="shared" si="34"/>
        <v>3.2897311631773598E-3</v>
      </c>
    </row>
    <row r="409" spans="15:23" x14ac:dyDescent="0.25">
      <c r="O409" s="1">
        <f t="shared" si="35"/>
        <v>1100</v>
      </c>
      <c r="Q409" s="12">
        <f t="shared" si="31"/>
        <v>5.4450977633173199E-6</v>
      </c>
      <c r="S409" s="13">
        <f t="shared" si="32"/>
        <v>5.9896075396490521E-3</v>
      </c>
      <c r="U409" s="13">
        <f t="shared" si="33"/>
        <v>2.4502939934927938E-3</v>
      </c>
      <c r="V409" s="12"/>
      <c r="W409" s="13">
        <f t="shared" si="34"/>
        <v>3.333199971004262E-3</v>
      </c>
    </row>
    <row r="410" spans="15:23" x14ac:dyDescent="0.25">
      <c r="O410" s="1">
        <f t="shared" si="35"/>
        <v>1099</v>
      </c>
      <c r="Q410" s="12">
        <f t="shared" si="31"/>
        <v>5.5255161834376439E-6</v>
      </c>
      <c r="S410" s="13">
        <f t="shared" si="32"/>
        <v>6.0725422855979708E-3</v>
      </c>
      <c r="U410" s="13">
        <f t="shared" si="33"/>
        <v>2.4864822825469398E-3</v>
      </c>
      <c r="V410" s="12"/>
      <c r="W410" s="13">
        <f t="shared" si="34"/>
        <v>3.3772241261784837E-3</v>
      </c>
    </row>
    <row r="411" spans="15:23" x14ac:dyDescent="0.25">
      <c r="O411" s="1">
        <f t="shared" si="35"/>
        <v>1098</v>
      </c>
      <c r="Q411" s="12">
        <f t="shared" si="31"/>
        <v>5.6071038630190229E-6</v>
      </c>
      <c r="S411" s="13">
        <f t="shared" si="32"/>
        <v>6.1566000415948872E-3</v>
      </c>
      <c r="U411" s="13">
        <f t="shared" si="33"/>
        <v>2.5231967383585602E-3</v>
      </c>
      <c r="V411" s="12"/>
      <c r="W411" s="13">
        <f t="shared" si="34"/>
        <v>3.421810367195828E-3</v>
      </c>
    </row>
    <row r="412" spans="15:23" x14ac:dyDescent="0.25">
      <c r="O412" s="1">
        <f t="shared" si="35"/>
        <v>1097</v>
      </c>
      <c r="Q412" s="12">
        <f t="shared" si="31"/>
        <v>5.6898774060323634E-6</v>
      </c>
      <c r="S412" s="13">
        <f t="shared" si="32"/>
        <v>6.241795514417503E-3</v>
      </c>
      <c r="U412" s="13">
        <f t="shared" si="33"/>
        <v>2.5604448327145634E-3</v>
      </c>
      <c r="V412" s="12"/>
      <c r="W412" s="13">
        <f t="shared" si="34"/>
        <v>3.4669655077140251E-3</v>
      </c>
    </row>
    <row r="413" spans="15:23" x14ac:dyDescent="0.25">
      <c r="O413" s="1">
        <f t="shared" si="35"/>
        <v>1096</v>
      </c>
      <c r="Q413" s="12">
        <f t="shared" si="31"/>
        <v>5.7738536439801937E-6</v>
      </c>
      <c r="S413" s="13">
        <f t="shared" si="32"/>
        <v>6.3281435938022925E-3</v>
      </c>
      <c r="U413" s="13">
        <f t="shared" si="33"/>
        <v>2.5982341397910872E-3</v>
      </c>
      <c r="V413" s="12"/>
      <c r="W413" s="13">
        <f t="shared" si="34"/>
        <v>3.5126964372683427E-3</v>
      </c>
    </row>
    <row r="414" spans="15:23" x14ac:dyDescent="0.25">
      <c r="O414" s="1">
        <f t="shared" si="35"/>
        <v>1095</v>
      </c>
      <c r="Q414" s="12">
        <f t="shared" si="31"/>
        <v>5.8590496388469423E-6</v>
      </c>
      <c r="S414" s="13">
        <f t="shared" si="32"/>
        <v>6.4156593545374018E-3</v>
      </c>
      <c r="U414" s="13">
        <f t="shared" si="33"/>
        <v>2.636572337481124E-3</v>
      </c>
      <c r="V414" s="12"/>
      <c r="W414" s="13">
        <f t="shared" si="34"/>
        <v>3.5590101219922952E-3</v>
      </c>
    </row>
    <row r="415" spans="15:23" x14ac:dyDescent="0.25">
      <c r="O415" s="1">
        <f t="shared" si="35"/>
        <v>1094</v>
      </c>
      <c r="Q415" s="12">
        <f t="shared" si="31"/>
        <v>5.9454826860826536E-6</v>
      </c>
      <c r="S415" s="13">
        <f t="shared" si="32"/>
        <v>6.5043580585744231E-3</v>
      </c>
      <c r="U415" s="13">
        <f t="shared" si="33"/>
        <v>2.6754672087371941E-3</v>
      </c>
      <c r="V415" s="12"/>
      <c r="W415" s="13">
        <f t="shared" si="34"/>
        <v>3.6059136053419555E-3</v>
      </c>
    </row>
    <row r="416" spans="15:23" x14ac:dyDescent="0.25">
      <c r="O416" s="1">
        <f t="shared" si="35"/>
        <v>1093</v>
      </c>
      <c r="Q416" s="12">
        <f t="shared" si="31"/>
        <v>6.0331703176227851E-6</v>
      </c>
      <c r="S416" s="13">
        <f t="shared" si="32"/>
        <v>6.594255157161704E-3</v>
      </c>
      <c r="U416" s="13">
        <f t="shared" si="33"/>
        <v>2.7149266429302532E-3</v>
      </c>
      <c r="V416" s="12"/>
      <c r="W416" s="13">
        <f t="shared" si="34"/>
        <v>3.6534140088252589E-3</v>
      </c>
    </row>
    <row r="417" spans="15:23" x14ac:dyDescent="0.25">
      <c r="O417" s="1">
        <f t="shared" si="35"/>
        <v>1092</v>
      </c>
      <c r="Q417" s="12">
        <f t="shared" si="31"/>
        <v>6.1221303049434516E-6</v>
      </c>
      <c r="S417" s="13">
        <f t="shared" si="32"/>
        <v>6.6853662929982488E-3</v>
      </c>
      <c r="U417" s="13">
        <f t="shared" si="33"/>
        <v>2.7549586372245531E-3</v>
      </c>
      <c r="V417" s="12"/>
      <c r="W417" s="13">
        <f t="shared" si="34"/>
        <v>3.7015185327356754E-3</v>
      </c>
    </row>
    <row r="418" spans="15:23" x14ac:dyDescent="0.25">
      <c r="O418" s="1">
        <f t="shared" si="35"/>
        <v>1091</v>
      </c>
      <c r="Q418" s="12">
        <f t="shared" si="31"/>
        <v>6.2123806621521487E-6</v>
      </c>
      <c r="S418" s="13">
        <f t="shared" si="32"/>
        <v>6.7777073024079945E-3</v>
      </c>
      <c r="U418" s="13">
        <f t="shared" si="33"/>
        <v>2.7955712979684669E-3</v>
      </c>
      <c r="V418" s="12"/>
      <c r="W418" s="13">
        <f t="shared" si="34"/>
        <v>3.7502344568900356E-3</v>
      </c>
    </row>
    <row r="419" spans="15:23" x14ac:dyDescent="0.25">
      <c r="O419" s="1">
        <f t="shared" si="35"/>
        <v>1090</v>
      </c>
      <c r="Q419" s="12">
        <f t="shared" si="31"/>
        <v>6.3039396491147959E-6</v>
      </c>
      <c r="S419" s="13">
        <f t="shared" si="32"/>
        <v>6.8712942175351279E-3</v>
      </c>
      <c r="U419" s="13">
        <f t="shared" si="33"/>
        <v>2.8367728421016584E-3</v>
      </c>
      <c r="V419" s="12"/>
      <c r="W419" s="13">
        <f t="shared" si="34"/>
        <v>3.7995691413707836E-3</v>
      </c>
    </row>
    <row r="420" spans="15:23" x14ac:dyDescent="0.25">
      <c r="O420" s="1">
        <f t="shared" si="35"/>
        <v>1089</v>
      </c>
      <c r="Q420" s="12">
        <f t="shared" si="31"/>
        <v>6.3968257746196249E-6</v>
      </c>
      <c r="S420" s="13">
        <f t="shared" si="32"/>
        <v>6.9661432685607719E-3</v>
      </c>
      <c r="U420" s="13">
        <f t="shared" si="33"/>
        <v>2.8785715985788314E-3</v>
      </c>
      <c r="V420" s="12"/>
      <c r="W420" s="13">
        <f t="shared" si="34"/>
        <v>3.8495300272727308E-3</v>
      </c>
    </row>
    <row r="421" spans="15:23" x14ac:dyDescent="0.25">
      <c r="O421" s="1">
        <f t="shared" si="35"/>
        <v>1088</v>
      </c>
      <c r="Q421" s="12">
        <f t="shared" si="31"/>
        <v>6.4910577995776116E-6</v>
      </c>
      <c r="S421" s="13">
        <f t="shared" si="32"/>
        <v>7.0622708859404415E-3</v>
      </c>
      <c r="U421" s="13">
        <f t="shared" si="33"/>
        <v>2.920976009809925E-3</v>
      </c>
      <c r="V421" s="12"/>
      <c r="W421" s="13">
        <f t="shared" si="34"/>
        <v>3.9001246374538948E-3</v>
      </c>
    </row>
    <row r="422" spans="15:23" x14ac:dyDescent="0.25">
      <c r="O422" s="1">
        <f t="shared" si="35"/>
        <v>1087</v>
      </c>
      <c r="Q422" s="12">
        <f t="shared" si="31"/>
        <v>6.5866547402601388E-6</v>
      </c>
      <c r="S422" s="13">
        <f t="shared" si="32"/>
        <v>7.1596937026627708E-3</v>
      </c>
      <c r="U422" s="13">
        <f t="shared" si="33"/>
        <v>2.9639946331170624E-3</v>
      </c>
      <c r="V422" s="12"/>
      <c r="W422" s="13">
        <f t="shared" si="34"/>
        <v>3.95136057729058E-3</v>
      </c>
    </row>
    <row r="423" spans="15:23" x14ac:dyDescent="0.25">
      <c r="O423" s="1">
        <f t="shared" si="35"/>
        <v>1086</v>
      </c>
      <c r="Q423" s="12">
        <f t="shared" si="31"/>
        <v>6.6836358715747263E-6</v>
      </c>
      <c r="S423" s="13">
        <f t="shared" si="32"/>
        <v>7.2584285565301526E-3</v>
      </c>
      <c r="U423" s="13">
        <f t="shared" si="33"/>
        <v>3.007636142208627E-3</v>
      </c>
      <c r="V423" s="12"/>
      <c r="W423" s="13">
        <f t="shared" si="34"/>
        <v>4.0032455354369742E-3</v>
      </c>
    </row>
    <row r="424" spans="15:23" x14ac:dyDescent="0.25">
      <c r="O424" s="1">
        <f t="shared" si="35"/>
        <v>1085</v>
      </c>
      <c r="Q424" s="12">
        <f t="shared" si="31"/>
        <v>6.7820207303778699E-6</v>
      </c>
      <c r="S424" s="13">
        <f t="shared" si="32"/>
        <v>7.3584924924599889E-3</v>
      </c>
      <c r="U424" s="13">
        <f t="shared" si="33"/>
        <v>3.0519093286700415E-3</v>
      </c>
      <c r="V424" s="12"/>
      <c r="W424" s="13">
        <f t="shared" si="34"/>
        <v>4.0557872845884187E-3</v>
      </c>
    </row>
    <row r="425" spans="15:23" x14ac:dyDescent="0.25">
      <c r="O425" s="1">
        <f t="shared" si="35"/>
        <v>1084</v>
      </c>
      <c r="Q425" s="12">
        <f t="shared" si="31"/>
        <v>6.8818291188273562E-6</v>
      </c>
      <c r="S425" s="13">
        <f t="shared" si="32"/>
        <v>7.4599027648088543E-3</v>
      </c>
      <c r="U425" s="13">
        <f t="shared" si="33"/>
        <v>3.0968231034723104E-3</v>
      </c>
      <c r="V425" s="12"/>
      <c r="W425" s="13">
        <f t="shared" si="34"/>
        <v>4.1089936822495321E-3</v>
      </c>
    </row>
    <row r="426" spans="15:23" x14ac:dyDescent="0.25">
      <c r="O426" s="1">
        <f t="shared" si="35"/>
        <v>1083</v>
      </c>
      <c r="Q426" s="12">
        <f t="shared" si="31"/>
        <v>6.9830811077720225E-6</v>
      </c>
      <c r="S426" s="13">
        <f t="shared" si="32"/>
        <v>7.5626768397171005E-3</v>
      </c>
      <c r="U426" s="13">
        <f t="shared" si="33"/>
        <v>3.1423864984974101E-3</v>
      </c>
      <c r="V426" s="12"/>
      <c r="W426" s="13">
        <f t="shared" si="34"/>
        <v>4.1628726715057206E-3</v>
      </c>
    </row>
    <row r="427" spans="15:23" x14ac:dyDescent="0.25">
      <c r="O427" s="1">
        <f t="shared" si="35"/>
        <v>1082</v>
      </c>
      <c r="Q427" s="12">
        <f t="shared" si="31"/>
        <v>7.0857970401812501E-6</v>
      </c>
      <c r="S427" s="13">
        <f t="shared" si="32"/>
        <v>7.6668323974761129E-3</v>
      </c>
      <c r="U427" s="13">
        <f t="shared" si="33"/>
        <v>3.1886086680815626E-3</v>
      </c>
      <c r="V427" s="12"/>
      <c r="W427" s="13">
        <f t="shared" si="34"/>
        <v>4.2174322817991735E-3</v>
      </c>
    </row>
    <row r="428" spans="15:23" x14ac:dyDescent="0.25">
      <c r="O428" s="1">
        <f t="shared" si="35"/>
        <v>1081</v>
      </c>
      <c r="Q428" s="12">
        <f t="shared" si="31"/>
        <v>7.1899975346138663E-6</v>
      </c>
      <c r="S428" s="13">
        <f t="shared" si="32"/>
        <v>7.7723873349175897E-3</v>
      </c>
      <c r="U428" s="13">
        <f t="shared" si="33"/>
        <v>3.2354988905762398E-3</v>
      </c>
      <c r="V428" s="12"/>
      <c r="W428" s="13">
        <f t="shared" si="34"/>
        <v>4.2726806297088988E-3</v>
      </c>
    </row>
    <row r="429" spans="15:23" x14ac:dyDescent="0.25">
      <c r="O429" s="1">
        <f t="shared" si="35"/>
        <v>1080</v>
      </c>
      <c r="Q429" s="12">
        <f t="shared" si="31"/>
        <v>7.295703488726558E-6</v>
      </c>
      <c r="S429" s="13">
        <f t="shared" si="32"/>
        <v>7.879359767824683E-3</v>
      </c>
      <c r="U429" s="13">
        <f t="shared" si="33"/>
        <v>3.283066569926951E-3</v>
      </c>
      <c r="V429" s="12"/>
      <c r="W429" s="13">
        <f t="shared" si="34"/>
        <v>4.3286259197346131E-3</v>
      </c>
    </row>
    <row r="430" spans="15:23" x14ac:dyDescent="0.25">
      <c r="O430" s="1">
        <f t="shared" si="35"/>
        <v>1079</v>
      </c>
      <c r="Q430" s="12">
        <f t="shared" si="31"/>
        <v>7.4029360828225979E-6</v>
      </c>
      <c r="S430" s="13">
        <f t="shared" si="32"/>
        <v>7.9877680333655839E-3</v>
      </c>
      <c r="U430" s="13">
        <f t="shared" si="33"/>
        <v>3.3313212372701692E-3</v>
      </c>
      <c r="V430" s="12"/>
      <c r="W430" s="13">
        <f t="shared" si="34"/>
        <v>4.3852764450846684E-3</v>
      </c>
    </row>
    <row r="431" spans="15:23" x14ac:dyDescent="0.25">
      <c r="O431" s="1">
        <f t="shared" si="35"/>
        <v>1078</v>
      </c>
      <c r="Q431" s="12">
        <f t="shared" si="31"/>
        <v>7.5117167834405258E-6</v>
      </c>
      <c r="S431" s="13">
        <f t="shared" si="32"/>
        <v>8.0976306925488861E-3</v>
      </c>
      <c r="U431" s="13">
        <f t="shared" si="33"/>
        <v>3.3802725525482365E-3</v>
      </c>
      <c r="V431" s="12"/>
      <c r="W431" s="13">
        <f t="shared" si="34"/>
        <v>4.442640588467571E-3</v>
      </c>
    </row>
    <row r="432" spans="15:23" x14ac:dyDescent="0.25">
      <c r="O432" s="1">
        <f t="shared" si="35"/>
        <v>1077</v>
      </c>
      <c r="Q432" s="12">
        <f t="shared" si="31"/>
        <v>7.6220673469844541E-6</v>
      </c>
      <c r="S432" s="13">
        <f t="shared" si="32"/>
        <v>8.2089665327022571E-3</v>
      </c>
      <c r="U432" s="13">
        <f t="shared" si="33"/>
        <v>3.4299303061430045E-3</v>
      </c>
      <c r="V432" s="12"/>
      <c r="W432" s="13">
        <f t="shared" si="34"/>
        <v>4.5007268228878022E-3</v>
      </c>
    </row>
    <row r="433" spans="15:23" x14ac:dyDescent="0.25">
      <c r="O433" s="1">
        <f t="shared" si="35"/>
        <v>1076</v>
      </c>
      <c r="Q433" s="12">
        <f t="shared" si="31"/>
        <v>7.7340098233952414E-6</v>
      </c>
      <c r="S433" s="13">
        <f t="shared" si="32"/>
        <v>8.3217945699732791E-3</v>
      </c>
      <c r="U433" s="13">
        <f t="shared" si="33"/>
        <v>3.4803044205278587E-3</v>
      </c>
      <c r="V433" s="12"/>
      <c r="W433" s="13">
        <f t="shared" si="34"/>
        <v>4.5595437124452002E-3</v>
      </c>
    </row>
    <row r="434" spans="15:23" x14ac:dyDescent="0.25">
      <c r="O434" s="1">
        <f t="shared" si="35"/>
        <v>1075</v>
      </c>
      <c r="Q434" s="12">
        <f t="shared" si="31"/>
        <v>7.8475665598630719E-6</v>
      </c>
      <c r="S434" s="13">
        <f t="shared" si="32"/>
        <v>8.4361340518528029E-3</v>
      </c>
      <c r="U434" s="13">
        <f t="shared" si="33"/>
        <v>3.5314049519383824E-3</v>
      </c>
      <c r="V434" s="12"/>
      <c r="W434" s="13">
        <f t="shared" si="34"/>
        <v>4.6190999131379964E-3</v>
      </c>
    </row>
    <row r="435" spans="15:23" x14ac:dyDescent="0.25">
      <c r="O435" s="1">
        <f t="shared" si="35"/>
        <v>1074</v>
      </c>
      <c r="Q435" s="12">
        <f t="shared" si="31"/>
        <v>7.9627602045819094E-6</v>
      </c>
      <c r="S435" s="13">
        <f t="shared" si="32"/>
        <v>8.5520044597209698E-3</v>
      </c>
      <c r="U435" s="13">
        <f t="shared" si="33"/>
        <v>3.5832420920618594E-3</v>
      </c>
      <c r="V435" s="12"/>
      <c r="W435" s="13">
        <f t="shared" si="34"/>
        <v>4.6794041736694493E-3</v>
      </c>
    </row>
    <row r="436" spans="15:23" x14ac:dyDescent="0.25">
      <c r="O436" s="1">
        <f t="shared" si="35"/>
        <v>1073</v>
      </c>
      <c r="Q436" s="12">
        <f t="shared" si="31"/>
        <v>8.0796137105472033E-6</v>
      </c>
      <c r="S436" s="13">
        <f t="shared" si="32"/>
        <v>8.6694255114171496E-3</v>
      </c>
      <c r="U436" s="13">
        <f t="shared" si="33"/>
        <v>3.6358261697462414E-3</v>
      </c>
      <c r="V436" s="12"/>
      <c r="W436" s="13">
        <f t="shared" si="34"/>
        <v>4.7404653362586842E-3</v>
      </c>
    </row>
    <row r="437" spans="15:23" x14ac:dyDescent="0.25">
      <c r="O437" s="1">
        <f t="shared" si="35"/>
        <v>1072</v>
      </c>
      <c r="Q437" s="12">
        <f t="shared" si="31"/>
        <v>8.1981503393947572E-6</v>
      </c>
      <c r="S437" s="13">
        <f t="shared" si="32"/>
        <v>8.7884171638311793E-3</v>
      </c>
      <c r="U437" s="13">
        <f t="shared" si="33"/>
        <v>3.6891676527276407E-3</v>
      </c>
      <c r="V437" s="12"/>
      <c r="W437" s="13">
        <f t="shared" si="34"/>
        <v>4.802292337454132E-3</v>
      </c>
    </row>
    <row r="438" spans="15:23" x14ac:dyDescent="0.25">
      <c r="O438" s="1">
        <f t="shared" si="35"/>
        <v>1071</v>
      </c>
      <c r="Q438" s="12">
        <f t="shared" si="31"/>
        <v>8.3183936652840873E-6</v>
      </c>
      <c r="S438" s="13">
        <f t="shared" si="32"/>
        <v>8.9089996155192579E-3</v>
      </c>
      <c r="U438" s="13">
        <f t="shared" si="33"/>
        <v>3.7432771493778392E-3</v>
      </c>
      <c r="V438" s="12"/>
      <c r="W438" s="13">
        <f t="shared" si="34"/>
        <v>4.8648942089513474E-3</v>
      </c>
    </row>
    <row r="439" spans="15:23" x14ac:dyDescent="0.25">
      <c r="O439" s="1">
        <f t="shared" si="35"/>
        <v>1070</v>
      </c>
      <c r="Q439" s="12">
        <f t="shared" si="31"/>
        <v>8.4403675788243905E-6</v>
      </c>
      <c r="S439" s="13">
        <f t="shared" si="32"/>
        <v>9.0311933093420987E-3</v>
      </c>
      <c r="U439" s="13">
        <f t="shared" si="33"/>
        <v>3.7981654104709758E-3</v>
      </c>
      <c r="V439" s="12"/>
      <c r="W439" s="13">
        <f t="shared" si="34"/>
        <v>4.9282800784137245E-3</v>
      </c>
    </row>
    <row r="440" spans="15:23" x14ac:dyDescent="0.25">
      <c r="O440" s="1">
        <f t="shared" si="35"/>
        <v>1069</v>
      </c>
      <c r="Q440" s="12">
        <f t="shared" si="31"/>
        <v>8.564096291044604E-6</v>
      </c>
      <c r="S440" s="13">
        <f t="shared" si="32"/>
        <v>9.1550189351266818E-3</v>
      </c>
      <c r="U440" s="13">
        <f t="shared" si="33"/>
        <v>3.8538433309700717E-3</v>
      </c>
      <c r="V440" s="12"/>
      <c r="W440" s="13">
        <f t="shared" si="34"/>
        <v>4.9924591702967475E-3</v>
      </c>
    </row>
    <row r="441" spans="15:23" x14ac:dyDescent="0.25">
      <c r="O441" s="1">
        <f t="shared" si="35"/>
        <v>1068</v>
      </c>
      <c r="Q441" s="12">
        <f t="shared" si="31"/>
        <v>8.6896043374076106E-6</v>
      </c>
      <c r="S441" s="13">
        <f t="shared" si="32"/>
        <v>9.2804974323513287E-3</v>
      </c>
      <c r="U441" s="13">
        <f t="shared" si="33"/>
        <v>3.910321951833425E-3</v>
      </c>
      <c r="V441" s="12"/>
      <c r="W441" s="13">
        <f t="shared" si="34"/>
        <v>5.0574408066755127E-3</v>
      </c>
    </row>
    <row r="442" spans="15:23" x14ac:dyDescent="0.25">
      <c r="O442" s="1">
        <f t="shared" si="35"/>
        <v>1067</v>
      </c>
      <c r="Q442" s="12">
        <f t="shared" si="31"/>
        <v>8.8169165818693109E-6</v>
      </c>
      <c r="S442" s="13">
        <f t="shared" si="32"/>
        <v>9.4076499928545543E-3</v>
      </c>
      <c r="U442" s="13">
        <f t="shared" si="33"/>
        <v>3.96761246184119E-3</v>
      </c>
      <c r="V442" s="12"/>
      <c r="W442" s="13">
        <f t="shared" si="34"/>
        <v>5.1232344080756088E-3</v>
      </c>
    </row>
    <row r="443" spans="15:23" x14ac:dyDescent="0.25">
      <c r="O443" s="1">
        <f t="shared" si="35"/>
        <v>1066</v>
      </c>
      <c r="Q443" s="12">
        <f t="shared" si="31"/>
        <v>8.94605822098183E-6</v>
      </c>
      <c r="S443" s="13">
        <f t="shared" si="32"/>
        <v>9.5364980635666303E-3</v>
      </c>
      <c r="U443" s="13">
        <f t="shared" si="33"/>
        <v>4.0257261994418236E-3</v>
      </c>
      <c r="V443" s="12"/>
      <c r="W443" s="13">
        <f t="shared" si="34"/>
        <v>5.1898494943066996E-3</v>
      </c>
    </row>
    <row r="444" spans="15:23" x14ac:dyDescent="0.25">
      <c r="O444" s="1">
        <f t="shared" si="35"/>
        <v>1065</v>
      </c>
      <c r="Q444" s="12">
        <f t="shared" si="31"/>
        <v>9.0770547880429376E-6</v>
      </c>
      <c r="S444" s="13">
        <f t="shared" si="32"/>
        <v>9.6670633492657292E-3</v>
      </c>
      <c r="U444" s="13">
        <f t="shared" si="33"/>
        <v>4.0846746546193222E-3</v>
      </c>
      <c r="V444" s="12"/>
      <c r="W444" s="13">
        <f t="shared" si="34"/>
        <v>5.2572956852996568E-3</v>
      </c>
    </row>
    <row r="445" spans="15:23" x14ac:dyDescent="0.25">
      <c r="O445" s="1">
        <f t="shared" si="35"/>
        <v>1064</v>
      </c>
      <c r="Q445" s="12">
        <f t="shared" si="31"/>
        <v>9.2099321572906714E-6</v>
      </c>
      <c r="S445" s="13">
        <f t="shared" si="32"/>
        <v>9.7993678153572746E-3</v>
      </c>
      <c r="U445" s="13">
        <f t="shared" si="33"/>
        <v>4.1444694707808019E-3</v>
      </c>
      <c r="V445" s="12"/>
      <c r="W445" s="13">
        <f t="shared" si="34"/>
        <v>5.3255827019464018E-3</v>
      </c>
    </row>
    <row r="446" spans="15:23" x14ac:dyDescent="0.25">
      <c r="O446" s="1">
        <f t="shared" si="35"/>
        <v>1063</v>
      </c>
      <c r="Q446" s="12">
        <f t="shared" si="31"/>
        <v>9.3447165481445402E-6</v>
      </c>
      <c r="S446" s="13">
        <f t="shared" si="32"/>
        <v>9.9334336906776455E-3</v>
      </c>
      <c r="U446" s="13">
        <f t="shared" si="33"/>
        <v>4.205122446665043E-3</v>
      </c>
      <c r="V446" s="12"/>
      <c r="W446" s="13">
        <f t="shared" si="34"/>
        <v>5.3947203669429365E-3</v>
      </c>
    </row>
    <row r="447" spans="15:23" x14ac:dyDescent="0.25">
      <c r="O447" s="1">
        <f t="shared" si="35"/>
        <v>1062</v>
      </c>
      <c r="Q447" s="12">
        <f t="shared" si="31"/>
        <v>9.4814345294921623E-6</v>
      </c>
      <c r="S447" s="13">
        <f t="shared" si="32"/>
        <v>1.0069283470320677E-2</v>
      </c>
      <c r="U447" s="13">
        <f t="shared" si="33"/>
        <v>4.2666455382714729E-3</v>
      </c>
      <c r="V447" s="12"/>
      <c r="W447" s="13">
        <f t="shared" si="34"/>
        <v>5.464718605634588E-3</v>
      </c>
    </row>
    <row r="448" spans="15:23" x14ac:dyDescent="0.25">
      <c r="O448" s="1">
        <f t="shared" si="35"/>
        <v>1061</v>
      </c>
      <c r="Q448" s="12">
        <f t="shared" si="31"/>
        <v>9.6201130240240755E-6</v>
      </c>
      <c r="S448" s="13">
        <f t="shared" si="32"/>
        <v>1.0206939918489545E-2</v>
      </c>
      <c r="U448" s="13">
        <f t="shared" si="33"/>
        <v>4.3290508608108342E-3</v>
      </c>
      <c r="V448" s="12"/>
      <c r="W448" s="13">
        <f t="shared" si="34"/>
        <v>5.5355874468647499E-3</v>
      </c>
    </row>
    <row r="449" spans="15:23" x14ac:dyDescent="0.25">
      <c r="O449" s="1">
        <f t="shared" si="35"/>
        <v>1060</v>
      </c>
      <c r="Q449" s="12">
        <f t="shared" si="31"/>
        <v>9.7607793126144455E-6</v>
      </c>
      <c r="S449" s="13">
        <f t="shared" si="32"/>
        <v>1.0346426071371312E-2</v>
      </c>
      <c r="U449" s="13">
        <f t="shared" si="33"/>
        <v>4.3923506906765001E-3</v>
      </c>
      <c r="V449" s="12"/>
      <c r="W449" s="13">
        <f t="shared" si="34"/>
        <v>5.607337023825508E-3</v>
      </c>
    </row>
    <row r="450" spans="15:23" x14ac:dyDescent="0.25">
      <c r="O450" s="1">
        <f t="shared" si="35"/>
        <v>1059</v>
      </c>
      <c r="Q450" s="12">
        <f t="shared" si="31"/>
        <v>9.9034610387506961E-6</v>
      </c>
      <c r="S450" s="13">
        <f t="shared" si="32"/>
        <v>1.0487765240036986E-2</v>
      </c>
      <c r="U450" s="13">
        <f t="shared" si="33"/>
        <v>4.4565574674378132E-3</v>
      </c>
      <c r="V450" s="12"/>
      <c r="W450" s="13">
        <f t="shared" si="34"/>
        <v>5.679977574911556E-3</v>
      </c>
    </row>
    <row r="451" spans="15:23" x14ac:dyDescent="0.25">
      <c r="O451" s="1">
        <f t="shared" si="35"/>
        <v>1058</v>
      </c>
      <c r="Q451" s="12">
        <f t="shared" si="31"/>
        <v>1.0048186213009934E-5</v>
      </c>
      <c r="S451" s="13">
        <f t="shared" si="32"/>
        <v>1.063098101336451E-2</v>
      </c>
      <c r="U451" s="13">
        <f t="shared" si="33"/>
        <v>4.5216837958544703E-3</v>
      </c>
      <c r="V451" s="12"/>
      <c r="W451" s="13">
        <f t="shared" si="34"/>
        <v>5.7535194445758912E-3</v>
      </c>
    </row>
    <row r="452" spans="15:23" x14ac:dyDescent="0.25">
      <c r="O452" s="1">
        <f t="shared" si="35"/>
        <v>1057</v>
      </c>
      <c r="Q452" s="12">
        <f t="shared" si="31"/>
        <v>1.0194983217584333E-5</v>
      </c>
      <c r="S452" s="13">
        <f t="shared" si="32"/>
        <v>1.077609726098664E-2</v>
      </c>
      <c r="U452" s="13">
        <f t="shared" si="33"/>
        <v>4.5877424479129495E-3</v>
      </c>
      <c r="V452" s="12"/>
      <c r="W452" s="13">
        <f t="shared" si="34"/>
        <v>5.8279730841881853E-3</v>
      </c>
    </row>
    <row r="453" spans="15:23" x14ac:dyDescent="0.25">
      <c r="O453" s="1">
        <f t="shared" si="35"/>
        <v>1056</v>
      </c>
      <c r="Q453" s="12">
        <f t="shared" si="31"/>
        <v>1.034388081085534E-5</v>
      </c>
      <c r="S453" s="13">
        <f t="shared" si="32"/>
        <v>1.0923138136263239E-2</v>
      </c>
      <c r="U453" s="13">
        <f t="shared" si="33"/>
        <v>4.6547463648849031E-3</v>
      </c>
      <c r="V453" s="12"/>
      <c r="W453" s="13">
        <f t="shared" si="34"/>
        <v>5.903349052895461E-3</v>
      </c>
    </row>
    <row r="454" spans="15:23" x14ac:dyDescent="0.25">
      <c r="O454" s="1">
        <f t="shared" si="35"/>
        <v>1055</v>
      </c>
      <c r="Q454" s="12">
        <f t="shared" si="31"/>
        <v>1.0494908132016495E-5</v>
      </c>
      <c r="S454" s="13">
        <f t="shared" si="32"/>
        <v>1.1072128079277403E-2</v>
      </c>
      <c r="U454" s="13">
        <f t="shared" si="33"/>
        <v>4.7227086594074227E-3</v>
      </c>
      <c r="V454" s="12"/>
      <c r="W454" s="13">
        <f t="shared" si="34"/>
        <v>5.9796580184846232E-3</v>
      </c>
    </row>
    <row r="455" spans="15:23" x14ac:dyDescent="0.25">
      <c r="O455" s="1">
        <f t="shared" si="35"/>
        <v>1054</v>
      </c>
      <c r="Q455" s="12">
        <f t="shared" si="31"/>
        <v>1.064809470574644E-5</v>
      </c>
      <c r="S455" s="13">
        <f t="shared" si="32"/>
        <v>1.1223091819856748E-2</v>
      </c>
      <c r="U455" s="13">
        <f t="shared" si="33"/>
        <v>4.7916426175858978E-3</v>
      </c>
      <c r="V455" s="12"/>
      <c r="W455" s="13">
        <f t="shared" si="34"/>
        <v>6.0569107582473958E-3</v>
      </c>
    </row>
    <row r="456" spans="15:23" x14ac:dyDescent="0.25">
      <c r="O456" s="1">
        <f t="shared" si="35"/>
        <v>1053</v>
      </c>
      <c r="Q456" s="12">
        <f t="shared" si="31"/>
        <v>1.0803470446931089E-5</v>
      </c>
      <c r="S456" s="13">
        <f t="shared" si="32"/>
        <v>1.1376054380618436E-2</v>
      </c>
      <c r="U456" s="13">
        <f t="shared" si="33"/>
        <v>4.8615617011189896E-3</v>
      </c>
      <c r="V456" s="12"/>
      <c r="W456" s="13">
        <f t="shared" si="34"/>
        <v>6.1351181598467992E-3</v>
      </c>
    </row>
    <row r="457" spans="15:23" x14ac:dyDescent="0.25">
      <c r="O457" s="1">
        <f t="shared" si="35"/>
        <v>1052</v>
      </c>
      <c r="Q457" s="12">
        <f t="shared" si="31"/>
        <v>1.0961065665436165E-5</v>
      </c>
      <c r="S457" s="13">
        <f t="shared" si="32"/>
        <v>1.1531041080038846E-2</v>
      </c>
      <c r="U457" s="13">
        <f t="shared" si="33"/>
        <v>4.9324795494462741E-3</v>
      </c>
      <c r="V457" s="12"/>
      <c r="W457" s="13">
        <f t="shared" si="34"/>
        <v>6.2142912221854795E-3</v>
      </c>
    </row>
    <row r="458" spans="15:23" x14ac:dyDescent="0.25">
      <c r="O458" s="1">
        <f t="shared" si="35"/>
        <v>1051</v>
      </c>
      <c r="Q458" s="12">
        <f t="shared" ref="Q458:Q521" si="36">_xlfn.LOGNORM.DIST(O458,$D$25,$D$26,FALSE)</f>
        <v>1.1120911070931487E-5</v>
      </c>
      <c r="S458" s="13">
        <f t="shared" ref="S458:S521" si="37">IF(O458&gt;$D$6,O458*Q458,0)</f>
        <v>1.1688077535548992E-2</v>
      </c>
      <c r="U458" s="13">
        <f t="shared" ref="U458:U521" si="38">IF(O458&gt;$D$6,$D$6*Q458,0)</f>
        <v>5.0044099819191688E-3</v>
      </c>
      <c r="V458" s="12"/>
      <c r="W458" s="13">
        <f t="shared" ref="W458:W521" si="39">(S458-U458)*EXP(-$D$9*$D$7)</f>
        <v>6.2944410562763668E-3</v>
      </c>
    </row>
    <row r="459" spans="15:23" x14ac:dyDescent="0.25">
      <c r="O459" s="1">
        <f t="shared" ref="O459:O522" si="40">O458-1</f>
        <v>1050</v>
      </c>
      <c r="Q459" s="12">
        <f t="shared" si="36"/>
        <v>1.1283037777764226E-5</v>
      </c>
      <c r="S459" s="13">
        <f t="shared" si="37"/>
        <v>1.1847189666652437E-2</v>
      </c>
      <c r="U459" s="13">
        <f t="shared" si="38"/>
        <v>5.0773669999939017E-3</v>
      </c>
      <c r="V459" s="12"/>
      <c r="W459" s="13">
        <f t="shared" si="39"/>
        <v>6.3755788861137508E-3</v>
      </c>
    </row>
    <row r="460" spans="15:23" x14ac:dyDescent="0.25">
      <c r="O460" s="1">
        <f t="shared" si="40"/>
        <v>1049</v>
      </c>
      <c r="Q460" s="12">
        <f t="shared" si="36"/>
        <v>1.144747730988511E-5</v>
      </c>
      <c r="S460" s="13">
        <f t="shared" si="37"/>
        <v>1.2008403698069482E-2</v>
      </c>
      <c r="U460" s="13">
        <f t="shared" si="38"/>
        <v>5.1513647894482996E-3</v>
      </c>
      <c r="V460" s="12"/>
      <c r="W460" s="13">
        <f t="shared" si="39"/>
        <v>6.4577160495466737E-3</v>
      </c>
    </row>
    <row r="461" spans="15:23" x14ac:dyDescent="0.25">
      <c r="O461" s="1">
        <f t="shared" si="40"/>
        <v>1048</v>
      </c>
      <c r="Q461" s="12">
        <f t="shared" si="36"/>
        <v>1.1614261605826129E-5</v>
      </c>
      <c r="S461" s="13">
        <f t="shared" si="37"/>
        <v>1.2171746162905783E-2</v>
      </c>
      <c r="U461" s="13">
        <f t="shared" si="38"/>
        <v>5.2264177226217581E-3</v>
      </c>
      <c r="V461" s="12"/>
      <c r="W461" s="13">
        <f t="shared" si="39"/>
        <v>6.5408639991535022E-3</v>
      </c>
    </row>
    <row r="462" spans="15:23" x14ac:dyDescent="0.25">
      <c r="O462" s="1">
        <f t="shared" si="40"/>
        <v>1047</v>
      </c>
      <c r="Q462" s="12">
        <f t="shared" si="36"/>
        <v>1.1783423023729741E-5</v>
      </c>
      <c r="S462" s="13">
        <f t="shared" si="37"/>
        <v>1.2337243905845039E-2</v>
      </c>
      <c r="U462" s="13">
        <f t="shared" si="38"/>
        <v>5.3025403606783835E-3</v>
      </c>
      <c r="V462" s="12"/>
      <c r="W462" s="13">
        <f t="shared" si="39"/>
        <v>6.6250343031173361E-3</v>
      </c>
    </row>
    <row r="463" spans="15:23" x14ac:dyDescent="0.25">
      <c r="O463" s="1">
        <f t="shared" si="40"/>
        <v>1046</v>
      </c>
      <c r="Q463" s="12">
        <f t="shared" si="36"/>
        <v>1.1954994346431373E-5</v>
      </c>
      <c r="S463" s="13">
        <f t="shared" si="37"/>
        <v>1.2504924086367216E-2</v>
      </c>
      <c r="U463" s="13">
        <f t="shared" si="38"/>
        <v>5.3797474558941183E-3</v>
      </c>
      <c r="V463" s="12"/>
      <c r="W463" s="13">
        <f t="shared" si="39"/>
        <v>6.7102386461028859E-3</v>
      </c>
    </row>
    <row r="464" spans="15:23" x14ac:dyDescent="0.25">
      <c r="O464" s="1">
        <f t="shared" si="40"/>
        <v>1045</v>
      </c>
      <c r="Q464" s="12">
        <f t="shared" si="36"/>
        <v>1.212900878659412E-5</v>
      </c>
      <c r="S464" s="13">
        <f t="shared" si="37"/>
        <v>1.2674814181990854E-2</v>
      </c>
      <c r="U464" s="13">
        <f t="shared" si="38"/>
        <v>5.4580539539673539E-3</v>
      </c>
      <c r="V464" s="12"/>
      <c r="W464" s="13">
        <f t="shared" si="39"/>
        <v>6.7964888301339085E-3</v>
      </c>
    </row>
    <row r="465" spans="15:23" x14ac:dyDescent="0.25">
      <c r="O465" s="1">
        <f t="shared" si="40"/>
        <v>1044</v>
      </c>
      <c r="Q465" s="12">
        <f t="shared" si="36"/>
        <v>1.2305499991896979E-5</v>
      </c>
      <c r="S465" s="13">
        <f t="shared" si="37"/>
        <v>1.2846941991540446E-2</v>
      </c>
      <c r="U465" s="13">
        <f t="shared" si="38"/>
        <v>5.5374749963536408E-3</v>
      </c>
      <c r="V465" s="12"/>
      <c r="W465" s="13">
        <f t="shared" si="39"/>
        <v>6.8837967754715613E-3</v>
      </c>
    </row>
    <row r="466" spans="15:23" x14ac:dyDescent="0.25">
      <c r="O466" s="1">
        <f t="shared" si="40"/>
        <v>1043</v>
      </c>
      <c r="Q466" s="12">
        <f t="shared" si="36"/>
        <v>1.2484502050276404E-5</v>
      </c>
      <c r="S466" s="13">
        <f t="shared" si="37"/>
        <v>1.3021335638438289E-2</v>
      </c>
      <c r="U466" s="13">
        <f t="shared" si="38"/>
        <v>5.6180259226243819E-3</v>
      </c>
      <c r="V466" s="12"/>
      <c r="W466" s="13">
        <f t="shared" si="39"/>
        <v>6.9721745214932204E-3</v>
      </c>
    </row>
    <row r="467" spans="15:23" x14ac:dyDescent="0.25">
      <c r="O467" s="1">
        <f t="shared" si="40"/>
        <v>1042</v>
      </c>
      <c r="Q467" s="12">
        <f t="shared" si="36"/>
        <v>1.2666049495223091E-5</v>
      </c>
      <c r="S467" s="13">
        <f t="shared" si="37"/>
        <v>1.3198023574022461E-2</v>
      </c>
      <c r="U467" s="13">
        <f t="shared" si="38"/>
        <v>5.6997222728503907E-3</v>
      </c>
      <c r="V467" s="12"/>
      <c r="W467" s="13">
        <f t="shared" si="39"/>
        <v>7.0616342275724806E-3</v>
      </c>
    </row>
    <row r="468" spans="15:23" x14ac:dyDescent="0.25">
      <c r="O468" s="1">
        <f t="shared" si="40"/>
        <v>1041</v>
      </c>
      <c r="Q468" s="12">
        <f t="shared" si="36"/>
        <v>1.2850177311130661E-5</v>
      </c>
      <c r="S468" s="13">
        <f t="shared" si="37"/>
        <v>1.3377034580887018E-2</v>
      </c>
      <c r="U468" s="13">
        <f t="shared" si="38"/>
        <v>5.7825797900087975E-3</v>
      </c>
      <c r="V468" s="12"/>
      <c r="W468" s="13">
        <f t="shared" si="39"/>
        <v>7.1521881739580913E-3</v>
      </c>
    </row>
    <row r="469" spans="15:23" x14ac:dyDescent="0.25">
      <c r="O469" s="1">
        <f t="shared" si="40"/>
        <v>1040</v>
      </c>
      <c r="Q469" s="12">
        <f t="shared" si="36"/>
        <v>1.3036920938701907E-5</v>
      </c>
      <c r="S469" s="13">
        <f t="shared" si="37"/>
        <v>1.3558397776249984E-2</v>
      </c>
      <c r="U469" s="13">
        <f t="shared" si="38"/>
        <v>5.8666144224158584E-3</v>
      </c>
      <c r="V469" s="12"/>
      <c r="W469" s="13">
        <f t="shared" si="39"/>
        <v>7.243848762654684E-3</v>
      </c>
    </row>
    <row r="470" spans="15:23" x14ac:dyDescent="0.25">
      <c r="O470" s="1">
        <f t="shared" si="40"/>
        <v>1039</v>
      </c>
      <c r="Q470" s="12">
        <f t="shared" si="36"/>
        <v>1.3226316280407362E-5</v>
      </c>
      <c r="S470" s="13">
        <f t="shared" si="37"/>
        <v>1.3742142615343249E-2</v>
      </c>
      <c r="U470" s="13">
        <f t="shared" si="38"/>
        <v>5.9518423261833127E-3</v>
      </c>
      <c r="V470" s="12"/>
      <c r="W470" s="13">
        <f t="shared" si="39"/>
        <v>7.3366285183019452E-3</v>
      </c>
    </row>
    <row r="471" spans="15:23" x14ac:dyDescent="0.25">
      <c r="O471" s="1">
        <f t="shared" si="40"/>
        <v>1038</v>
      </c>
      <c r="Q471" s="12">
        <f t="shared" si="36"/>
        <v>1.341839970600142E-5</v>
      </c>
      <c r="S471" s="13">
        <f t="shared" si="37"/>
        <v>1.3928298894829475E-2</v>
      </c>
      <c r="U471" s="13">
        <f t="shared" si="38"/>
        <v>6.0382798677006393E-3</v>
      </c>
      <c r="V471" s="12"/>
      <c r="W471" s="13">
        <f t="shared" si="39"/>
        <v>7.4305400890548358E-3</v>
      </c>
    </row>
    <row r="472" spans="15:23" x14ac:dyDescent="0.25">
      <c r="O472" s="1">
        <f t="shared" si="40"/>
        <v>1037</v>
      </c>
      <c r="Q472" s="12">
        <f t="shared" si="36"/>
        <v>1.3613208058093239E-5</v>
      </c>
      <c r="S472" s="13">
        <f t="shared" si="37"/>
        <v>1.4116896756242689E-2</v>
      </c>
      <c r="U472" s="13">
        <f t="shared" si="38"/>
        <v>6.1259436261419577E-3</v>
      </c>
      <c r="V472" s="12"/>
      <c r="W472" s="13">
        <f t="shared" si="39"/>
        <v>7.5255962474629068E-3</v>
      </c>
    </row>
    <row r="473" spans="15:23" x14ac:dyDescent="0.25">
      <c r="O473" s="1">
        <f t="shared" si="40"/>
        <v>1036</v>
      </c>
      <c r="Q473" s="12">
        <f t="shared" si="36"/>
        <v>1.3810778657773925E-5</v>
      </c>
      <c r="S473" s="13">
        <f t="shared" si="37"/>
        <v>1.4307966689453786E-2</v>
      </c>
      <c r="U473" s="13">
        <f t="shared" si="38"/>
        <v>6.2148503959982664E-3</v>
      </c>
      <c r="V473" s="12"/>
      <c r="W473" s="13">
        <f t="shared" si="39"/>
        <v>7.6218098913492212E-3</v>
      </c>
    </row>
    <row r="474" spans="15:23" x14ac:dyDescent="0.25">
      <c r="O474" s="1">
        <f t="shared" si="40"/>
        <v>1035</v>
      </c>
      <c r="Q474" s="12">
        <f t="shared" si="36"/>
        <v>1.4011149310299815E-5</v>
      </c>
      <c r="S474" s="13">
        <f t="shared" si="37"/>
        <v>1.4501539536160308E-2</v>
      </c>
      <c r="U474" s="13">
        <f t="shared" si="38"/>
        <v>6.3050171896349167E-3</v>
      </c>
      <c r="V474" s="12"/>
      <c r="W474" s="13">
        <f t="shared" si="39"/>
        <v>7.7191940446883567E-3</v>
      </c>
    </row>
    <row r="475" spans="15:23" x14ac:dyDescent="0.25">
      <c r="O475" s="1">
        <f t="shared" si="40"/>
        <v>1034</v>
      </c>
      <c r="Q475" s="12">
        <f t="shared" si="36"/>
        <v>1.4214358310833528E-5</v>
      </c>
      <c r="S475" s="13">
        <f t="shared" si="37"/>
        <v>1.4697646493401868E-2</v>
      </c>
      <c r="U475" s="13">
        <f t="shared" si="38"/>
        <v>6.3964612398750877E-3</v>
      </c>
      <c r="V475" s="12"/>
      <c r="W475" s="13">
        <f t="shared" si="39"/>
        <v>7.8177618584840923E-3</v>
      </c>
    </row>
    <row r="476" spans="15:23" x14ac:dyDescent="0.25">
      <c r="O476" s="1">
        <f t="shared" si="40"/>
        <v>1033</v>
      </c>
      <c r="Q476" s="12">
        <f t="shared" si="36"/>
        <v>1.4420444450241251E-5</v>
      </c>
      <c r="S476" s="13">
        <f t="shared" si="37"/>
        <v>1.4896319117099212E-2</v>
      </c>
      <c r="U476" s="13">
        <f t="shared" si="38"/>
        <v>6.4892000026085632E-3</v>
      </c>
      <c r="V476" s="12"/>
      <c r="W476" s="13">
        <f t="shared" si="39"/>
        <v>7.9175266116455079E-3</v>
      </c>
    </row>
    <row r="477" spans="15:23" x14ac:dyDescent="0.25">
      <c r="O477" s="1">
        <f t="shared" si="40"/>
        <v>1032</v>
      </c>
      <c r="Q477" s="12">
        <f t="shared" si="36"/>
        <v>1.4629447020947964E-5</v>
      </c>
      <c r="S477" s="13">
        <f t="shared" si="37"/>
        <v>1.5097589325618299E-2</v>
      </c>
      <c r="U477" s="13">
        <f t="shared" si="38"/>
        <v>6.5832511594265839E-3</v>
      </c>
      <c r="V477" s="12"/>
      <c r="W477" s="13">
        <f t="shared" si="39"/>
        <v>8.01850171186211E-3</v>
      </c>
    </row>
    <row r="478" spans="15:23" x14ac:dyDescent="0.25">
      <c r="O478" s="1">
        <f t="shared" si="40"/>
        <v>1031</v>
      </c>
      <c r="Q478" s="12">
        <f t="shared" si="36"/>
        <v>1.4841405822850477E-5</v>
      </c>
      <c r="S478" s="13">
        <f t="shared" si="37"/>
        <v>1.5301489403358843E-2</v>
      </c>
      <c r="U478" s="13">
        <f t="shared" si="38"/>
        <v>6.6786326202827144E-3</v>
      </c>
      <c r="V478" s="12"/>
      <c r="W478" s="13">
        <f t="shared" si="39"/>
        <v>8.1207006964774658E-3</v>
      </c>
    </row>
    <row r="479" spans="15:23" x14ac:dyDescent="0.25">
      <c r="O479" s="1">
        <f t="shared" si="40"/>
        <v>1030</v>
      </c>
      <c r="Q479" s="12">
        <f t="shared" si="36"/>
        <v>1.5056361169288646E-5</v>
      </c>
      <c r="S479" s="13">
        <f t="shared" si="37"/>
        <v>1.5508052004367305E-2</v>
      </c>
      <c r="U479" s="13">
        <f t="shared" si="38"/>
        <v>6.7753625261798905E-3</v>
      </c>
      <c r="V479" s="12"/>
      <c r="W479" s="13">
        <f t="shared" si="39"/>
        <v>8.2241372333612481E-3</v>
      </c>
    </row>
    <row r="480" spans="15:23" x14ac:dyDescent="0.25">
      <c r="O480" s="1">
        <f t="shared" si="40"/>
        <v>1029</v>
      </c>
      <c r="Q480" s="12">
        <f t="shared" si="36"/>
        <v>1.5274353893075096E-5</v>
      </c>
      <c r="S480" s="13">
        <f t="shared" si="37"/>
        <v>1.5717310155974273E-2</v>
      </c>
      <c r="U480" s="13">
        <f t="shared" si="38"/>
        <v>6.8734592518837926E-3</v>
      </c>
      <c r="V480" s="12"/>
      <c r="W480" s="13">
        <f t="shared" si="39"/>
        <v>8.3288251217794075E-3</v>
      </c>
    </row>
    <row r="481" spans="15:23" x14ac:dyDescent="0.25">
      <c r="O481" s="1">
        <f t="shared" si="40"/>
        <v>1028</v>
      </c>
      <c r="Q481" s="12">
        <f t="shared" si="36"/>
        <v>1.5495425352583386E-5</v>
      </c>
      <c r="S481" s="13">
        <f t="shared" si="37"/>
        <v>1.5929297262455722E-2</v>
      </c>
      <c r="U481" s="13">
        <f t="shared" si="38"/>
        <v>6.9729414086625238E-3</v>
      </c>
      <c r="V481" s="12"/>
      <c r="W481" s="13">
        <f t="shared" si="39"/>
        <v>8.4347782932621077E-3</v>
      </c>
    </row>
    <row r="482" spans="15:23" x14ac:dyDescent="0.25">
      <c r="O482" s="1">
        <f t="shared" si="40"/>
        <v>1027</v>
      </c>
      <c r="Q482" s="12">
        <f t="shared" si="36"/>
        <v>1.5719617437896102E-5</v>
      </c>
      <c r="S482" s="13">
        <f t="shared" si="37"/>
        <v>1.6144047108719296E-2</v>
      </c>
      <c r="U482" s="13">
        <f t="shared" si="38"/>
        <v>7.0738278470532457E-3</v>
      </c>
      <c r="V482" s="12"/>
      <c r="W482" s="13">
        <f t="shared" si="39"/>
        <v>8.5420108124697972E-3</v>
      </c>
    </row>
    <row r="483" spans="15:23" x14ac:dyDescent="0.25">
      <c r="O483" s="1">
        <f t="shared" si="40"/>
        <v>1026</v>
      </c>
      <c r="Q483" s="12">
        <f t="shared" si="36"/>
        <v>1.5946972577012052E-5</v>
      </c>
      <c r="S483" s="13">
        <f t="shared" si="37"/>
        <v>1.6361593864014364E-2</v>
      </c>
      <c r="U483" s="13">
        <f t="shared" si="38"/>
        <v>7.1761376596554231E-3</v>
      </c>
      <c r="V483" s="12"/>
      <c r="W483" s="13">
        <f t="shared" si="39"/>
        <v>8.6505368780566416E-3</v>
      </c>
    </row>
    <row r="484" spans="15:23" x14ac:dyDescent="0.25">
      <c r="O484" s="1">
        <f t="shared" si="40"/>
        <v>1025</v>
      </c>
      <c r="Q484" s="12">
        <f t="shared" si="36"/>
        <v>1.6177533742112934E-5</v>
      </c>
      <c r="S484" s="13">
        <f t="shared" si="37"/>
        <v>1.6581972085665756E-2</v>
      </c>
      <c r="U484" s="13">
        <f t="shared" si="38"/>
        <v>7.2798901839508205E-3</v>
      </c>
      <c r="V484" s="12"/>
      <c r="W484" s="13">
        <f t="shared" si="39"/>
        <v>8.7603708235310471E-3</v>
      </c>
    </row>
    <row r="485" spans="15:23" x14ac:dyDescent="0.25">
      <c r="O485" s="1">
        <f t="shared" si="40"/>
        <v>1024</v>
      </c>
      <c r="Q485" s="12">
        <f t="shared" si="36"/>
        <v>1.6411344455890883E-5</v>
      </c>
      <c r="S485" s="13">
        <f t="shared" si="37"/>
        <v>1.6805216722832264E-2</v>
      </c>
      <c r="U485" s="13">
        <f t="shared" si="38"/>
        <v>7.3851050051508974E-3</v>
      </c>
      <c r="V485" s="12"/>
      <c r="W485" s="13">
        <f t="shared" si="39"/>
        <v>8.8715271181137086E-3</v>
      </c>
    </row>
    <row r="486" spans="15:23" x14ac:dyDescent="0.25">
      <c r="O486" s="1">
        <f t="shared" si="40"/>
        <v>1023</v>
      </c>
      <c r="Q486" s="12">
        <f t="shared" si="36"/>
        <v>1.6648448797935319E-5</v>
      </c>
      <c r="S486" s="13">
        <f t="shared" si="37"/>
        <v>1.7031363120287833E-2</v>
      </c>
      <c r="U486" s="13">
        <f t="shared" si="38"/>
        <v>7.4918019590708932E-3</v>
      </c>
      <c r="V486" s="12"/>
      <c r="W486" s="13">
        <f t="shared" si="39"/>
        <v>8.9840203675918846E-3</v>
      </c>
    </row>
    <row r="487" spans="15:23" x14ac:dyDescent="0.25">
      <c r="O487" s="1">
        <f t="shared" si="40"/>
        <v>1022</v>
      </c>
      <c r="Q487" s="12">
        <f t="shared" si="36"/>
        <v>1.6888891411181122E-5</v>
      </c>
      <c r="S487" s="13">
        <f t="shared" si="37"/>
        <v>1.7260447022227107E-2</v>
      </c>
      <c r="U487" s="13">
        <f t="shared" si="38"/>
        <v>7.6000011350315045E-3</v>
      </c>
      <c r="V487" s="12"/>
      <c r="W487" s="13">
        <f t="shared" si="39"/>
        <v>9.0978653151706397E-3</v>
      </c>
    </row>
    <row r="488" spans="15:23" x14ac:dyDescent="0.25">
      <c r="O488" s="1">
        <f t="shared" si="40"/>
        <v>1021</v>
      </c>
      <c r="Q488" s="12">
        <f t="shared" si="36"/>
        <v>1.713271750841919E-5</v>
      </c>
      <c r="S488" s="13">
        <f t="shared" si="37"/>
        <v>1.7492504576095993E-2</v>
      </c>
      <c r="U488" s="13">
        <f t="shared" si="38"/>
        <v>7.7097228787886352E-3</v>
      </c>
      <c r="V488" s="12"/>
      <c r="W488" s="13">
        <f t="shared" si="39"/>
        <v>9.2130768423211891E-3</v>
      </c>
    </row>
    <row r="489" spans="15:23" x14ac:dyDescent="0.25">
      <c r="O489" s="1">
        <f t="shared" si="40"/>
        <v>1020</v>
      </c>
      <c r="Q489" s="12">
        <f t="shared" si="36"/>
        <v>1.7379972878864791E-5</v>
      </c>
      <c r="S489" s="13">
        <f t="shared" si="37"/>
        <v>1.7727572336442086E-2</v>
      </c>
      <c r="U489" s="13">
        <f t="shared" si="38"/>
        <v>7.8209877954891552E-3</v>
      </c>
      <c r="V489" s="12"/>
      <c r="W489" s="13">
        <f t="shared" si="39"/>
        <v>9.3296699696234654E-3</v>
      </c>
    </row>
    <row r="490" spans="15:23" x14ac:dyDescent="0.25">
      <c r="O490" s="1">
        <f t="shared" si="40"/>
        <v>1019</v>
      </c>
      <c r="Q490" s="12">
        <f t="shared" si="36"/>
        <v>1.7630703894791221E-5</v>
      </c>
      <c r="S490" s="13">
        <f t="shared" si="37"/>
        <v>1.7965687268792253E-2</v>
      </c>
      <c r="U490" s="13">
        <f t="shared" si="38"/>
        <v>7.9338167526560501E-3</v>
      </c>
      <c r="V490" s="12"/>
      <c r="W490" s="13">
        <f t="shared" si="39"/>
        <v>9.4476598576065871E-3</v>
      </c>
    </row>
    <row r="491" spans="15:23" x14ac:dyDescent="0.25">
      <c r="O491" s="1">
        <f t="shared" si="40"/>
        <v>1018</v>
      </c>
      <c r="Q491" s="12">
        <f t="shared" si="36"/>
        <v>1.7884957518223486E-5</v>
      </c>
      <c r="S491" s="13">
        <f t="shared" si="37"/>
        <v>1.8206886753551508E-2</v>
      </c>
      <c r="U491" s="13">
        <f t="shared" si="38"/>
        <v>8.0482308832005682E-3</v>
      </c>
      <c r="V491" s="12"/>
      <c r="W491" s="13">
        <f t="shared" si="39"/>
        <v>9.5670618075839424E-3</v>
      </c>
    </row>
    <row r="492" spans="15:23" x14ac:dyDescent="0.25">
      <c r="O492" s="1">
        <f t="shared" si="40"/>
        <v>1017</v>
      </c>
      <c r="Q492" s="12">
        <f t="shared" si="36"/>
        <v>1.8142781307693395E-5</v>
      </c>
      <c r="S492" s="13">
        <f t="shared" si="37"/>
        <v>1.8451208589924183E-2</v>
      </c>
      <c r="U492" s="13">
        <f t="shared" si="38"/>
        <v>8.1642515884620282E-3</v>
      </c>
      <c r="V492" s="12"/>
      <c r="W492" s="13">
        <f t="shared" si="39"/>
        <v>9.6878912624832284E-3</v>
      </c>
    </row>
    <row r="493" spans="15:23" x14ac:dyDescent="0.25">
      <c r="O493" s="1">
        <f t="shared" si="40"/>
        <v>1016</v>
      </c>
      <c r="Q493" s="12">
        <f t="shared" si="36"/>
        <v>1.8404223425059048E-5</v>
      </c>
      <c r="S493" s="13">
        <f t="shared" si="37"/>
        <v>1.8698690999859994E-2</v>
      </c>
      <c r="U493" s="13">
        <f t="shared" si="38"/>
        <v>8.2819005412765722E-3</v>
      </c>
      <c r="V493" s="12"/>
      <c r="W493" s="13">
        <f t="shared" si="39"/>
        <v>9.8101638076726685E-3</v>
      </c>
    </row>
    <row r="494" spans="15:23" x14ac:dyDescent="0.25">
      <c r="O494" s="1">
        <f t="shared" si="40"/>
        <v>1015</v>
      </c>
      <c r="Q494" s="12">
        <f t="shared" si="36"/>
        <v>1.866933264238573E-5</v>
      </c>
      <c r="S494" s="13">
        <f t="shared" si="37"/>
        <v>1.8949372632021518E-2</v>
      </c>
      <c r="U494" s="13">
        <f t="shared" si="38"/>
        <v>8.4011996890735793E-3</v>
      </c>
      <c r="V494" s="12"/>
      <c r="W494" s="13">
        <f t="shared" si="39"/>
        <v>9.9338951717813564E-3</v>
      </c>
    </row>
    <row r="495" spans="15:23" x14ac:dyDescent="0.25">
      <c r="O495" s="1">
        <f t="shared" si="40"/>
        <v>1014</v>
      </c>
      <c r="Q495" s="12">
        <f t="shared" si="36"/>
        <v>1.8938158348888822E-5</v>
      </c>
      <c r="S495" s="13">
        <f t="shared" si="37"/>
        <v>1.9203292565773265E-2</v>
      </c>
      <c r="U495" s="13">
        <f t="shared" si="38"/>
        <v>8.5221712569999702E-3</v>
      </c>
      <c r="V495" s="12"/>
      <c r="W495" s="13">
        <f t="shared" si="39"/>
        <v>1.0059101227513663E-2</v>
      </c>
    </row>
    <row r="496" spans="15:23" x14ac:dyDescent="0.25">
      <c r="O496" s="1">
        <f t="shared" si="40"/>
        <v>1013</v>
      </c>
      <c r="Q496" s="12">
        <f t="shared" si="36"/>
        <v>1.921075055794298E-5</v>
      </c>
      <c r="S496" s="13">
        <f t="shared" si="37"/>
        <v>1.9460490315196238E-2</v>
      </c>
      <c r="U496" s="13">
        <f t="shared" si="38"/>
        <v>8.6448377510743406E-3</v>
      </c>
      <c r="V496" s="12"/>
      <c r="W496" s="13">
        <f t="shared" si="39"/>
        <v>1.0185797992459542E-2</v>
      </c>
    </row>
    <row r="497" spans="15:23" x14ac:dyDescent="0.25">
      <c r="O497" s="1">
        <f t="shared" si="40"/>
        <v>1012</v>
      </c>
      <c r="Q497" s="12">
        <f t="shared" si="36"/>
        <v>1.948715991415009E-5</v>
      </c>
      <c r="S497" s="13">
        <f t="shared" si="37"/>
        <v>1.9721005833119892E-2</v>
      </c>
      <c r="U497" s="13">
        <f t="shared" si="38"/>
        <v>8.76922196136754E-3</v>
      </c>
      <c r="V497" s="12"/>
      <c r="W497" s="13">
        <f t="shared" si="39"/>
        <v>1.0314001629896352E-2</v>
      </c>
    </row>
    <row r="498" spans="15:23" x14ac:dyDescent="0.25">
      <c r="O498" s="1">
        <f t="shared" si="40"/>
        <v>1011</v>
      </c>
      <c r="Q498" s="12">
        <f t="shared" si="36"/>
        <v>1.9767437700475659E-5</v>
      </c>
      <c r="S498" s="13">
        <f t="shared" si="37"/>
        <v>1.9984879515180892E-2</v>
      </c>
      <c r="U498" s="13">
        <f t="shared" si="38"/>
        <v>8.895346965214046E-3</v>
      </c>
      <c r="V498" s="12"/>
      <c r="W498" s="13">
        <f t="shared" si="39"/>
        <v>1.0443728449586871E-2</v>
      </c>
    </row>
    <row r="499" spans="15:23" x14ac:dyDescent="0.25">
      <c r="O499" s="1">
        <f t="shared" si="40"/>
        <v>1010</v>
      </c>
      <c r="Q499" s="12">
        <f t="shared" si="36"/>
        <v>2.0051635845445549E-5</v>
      </c>
      <c r="S499" s="13">
        <f t="shared" si="37"/>
        <v>2.0252152203900003E-2</v>
      </c>
      <c r="U499" s="13">
        <f t="shared" si="38"/>
        <v>9.0232361304504963E-3</v>
      </c>
      <c r="V499" s="12"/>
      <c r="W499" s="13">
        <f t="shared" si="39"/>
        <v>1.0574994908568849E-2</v>
      </c>
    </row>
    <row r="500" spans="15:23" x14ac:dyDescent="0.25">
      <c r="O500" s="1">
        <f t="shared" si="40"/>
        <v>1009</v>
      </c>
      <c r="Q500" s="12">
        <f t="shared" si="36"/>
        <v>2.0339806930407594E-5</v>
      </c>
      <c r="S500" s="13">
        <f t="shared" si="37"/>
        <v>2.0522865192781261E-2</v>
      </c>
      <c r="U500" s="13">
        <f t="shared" si="38"/>
        <v>9.1529131186834176E-3</v>
      </c>
      <c r="V500" s="12"/>
      <c r="W500" s="13">
        <f t="shared" si="39"/>
        <v>1.0707817611938017E-2</v>
      </c>
    </row>
    <row r="501" spans="15:23" x14ac:dyDescent="0.25">
      <c r="O501" s="1">
        <f t="shared" si="40"/>
        <v>1008</v>
      </c>
      <c r="Q501" s="12">
        <f t="shared" si="36"/>
        <v>2.0632004196858893E-5</v>
      </c>
      <c r="S501" s="13">
        <f t="shared" si="37"/>
        <v>2.0797060230433765E-2</v>
      </c>
      <c r="U501" s="13">
        <f t="shared" si="38"/>
        <v>9.2844018885865024E-3</v>
      </c>
      <c r="V501" s="12"/>
      <c r="W501" s="13">
        <f t="shared" si="39"/>
        <v>1.0842213313624597E-2</v>
      </c>
    </row>
    <row r="502" spans="15:23" x14ac:dyDescent="0.25">
      <c r="O502" s="1">
        <f t="shared" si="40"/>
        <v>1007</v>
      </c>
      <c r="Q502" s="12">
        <f t="shared" si="36"/>
        <v>2.0928281553836361E-5</v>
      </c>
      <c r="S502" s="13">
        <f t="shared" si="37"/>
        <v>2.1074779524713216E-2</v>
      </c>
      <c r="U502" s="13">
        <f t="shared" si="38"/>
        <v>9.4177266992263621E-3</v>
      </c>
      <c r="V502" s="12"/>
      <c r="W502" s="13">
        <f t="shared" si="39"/>
        <v>1.0978198917161576E-2</v>
      </c>
    </row>
    <row r="503" spans="15:23" x14ac:dyDescent="0.25">
      <c r="O503" s="1">
        <f t="shared" si="40"/>
        <v>1006</v>
      </c>
      <c r="Q503" s="12">
        <f t="shared" si="36"/>
        <v>2.1228693585371086E-5</v>
      </c>
      <c r="S503" s="13">
        <f t="shared" si="37"/>
        <v>2.1356065746883313E-2</v>
      </c>
      <c r="U503" s="13">
        <f t="shared" si="38"/>
        <v>9.5529121134169896E-3</v>
      </c>
      <c r="V503" s="12"/>
      <c r="W503" s="13">
        <f t="shared" si="39"/>
        <v>1.1115791476444642E-2</v>
      </c>
    </row>
    <row r="504" spans="15:23" x14ac:dyDescent="0.25">
      <c r="O504" s="1">
        <f t="shared" si="40"/>
        <v>1005</v>
      </c>
      <c r="Q504" s="12">
        <f t="shared" si="36"/>
        <v>2.1533295558009269E-5</v>
      </c>
      <c r="S504" s="13">
        <f t="shared" si="37"/>
        <v>2.1640962035799315E-2</v>
      </c>
      <c r="U504" s="13">
        <f t="shared" si="38"/>
        <v>9.6899830011041715E-3</v>
      </c>
      <c r="V504" s="12"/>
      <c r="W504" s="13">
        <f t="shared" si="39"/>
        <v>1.1255008196484806E-2</v>
      </c>
    </row>
    <row r="505" spans="15:23" x14ac:dyDescent="0.25">
      <c r="O505" s="1">
        <f t="shared" si="40"/>
        <v>1004</v>
      </c>
      <c r="Q505" s="12">
        <f t="shared" si="36"/>
        <v>2.1842143428397175E-5</v>
      </c>
      <c r="S505" s="13">
        <f t="shared" si="37"/>
        <v>2.1929512002110765E-2</v>
      </c>
      <c r="U505" s="13">
        <f t="shared" si="38"/>
        <v>9.828964542778729E-3</v>
      </c>
      <c r="V505" s="12"/>
      <c r="W505" s="13">
        <f t="shared" si="39"/>
        <v>1.1395866434151901E-2</v>
      </c>
    </row>
    <row r="506" spans="15:23" x14ac:dyDescent="0.25">
      <c r="O506" s="1">
        <f t="shared" si="40"/>
        <v>1003</v>
      </c>
      <c r="Q506" s="12">
        <f t="shared" si="36"/>
        <v>2.2155293850930792E-5</v>
      </c>
      <c r="S506" s="13">
        <f t="shared" si="37"/>
        <v>2.2221759732483585E-2</v>
      </c>
      <c r="U506" s="13">
        <f t="shared" si="38"/>
        <v>9.9698822329188554E-3</v>
      </c>
      <c r="V506" s="12"/>
      <c r="W506" s="13">
        <f t="shared" si="39"/>
        <v>1.1538383698908928E-2</v>
      </c>
    </row>
    <row r="507" spans="15:23" x14ac:dyDescent="0.25">
      <c r="O507" s="1">
        <f t="shared" si="40"/>
        <v>1002</v>
      </c>
      <c r="Q507" s="12">
        <f t="shared" si="36"/>
        <v>2.2472804185472968E-5</v>
      </c>
      <c r="S507" s="13">
        <f t="shared" si="37"/>
        <v>2.2517749793843914E-2</v>
      </c>
      <c r="U507" s="13">
        <f t="shared" si="38"/>
        <v>1.0112761883462835E-2</v>
      </c>
      <c r="V507" s="12"/>
      <c r="W507" s="13">
        <f t="shared" si="39"/>
        <v>1.168257765353828E-2</v>
      </c>
    </row>
    <row r="508" spans="15:23" x14ac:dyDescent="0.25">
      <c r="O508" s="1">
        <f t="shared" si="40"/>
        <v>1001</v>
      </c>
      <c r="Q508" s="12">
        <f t="shared" si="36"/>
        <v>2.2794732505132094E-5</v>
      </c>
      <c r="S508" s="13">
        <f t="shared" si="37"/>
        <v>2.2817527237637227E-2</v>
      </c>
      <c r="U508" s="13">
        <f t="shared" si="38"/>
        <v>1.0257629627309443E-2</v>
      </c>
      <c r="V508" s="12"/>
      <c r="W508" s="13">
        <f t="shared" si="39"/>
        <v>1.1828466114856264E-2</v>
      </c>
    </row>
    <row r="509" spans="15:23" x14ac:dyDescent="0.25">
      <c r="O509" s="1">
        <f t="shared" si="40"/>
        <v>1000</v>
      </c>
      <c r="Q509" s="12">
        <f t="shared" si="36"/>
        <v>2.3121137604110392E-5</v>
      </c>
      <c r="S509" s="13">
        <f t="shared" si="37"/>
        <v>2.3121137604110394E-2</v>
      </c>
      <c r="U509" s="13">
        <f t="shared" si="38"/>
        <v>1.0404511921849676E-2</v>
      </c>
      <c r="V509" s="12"/>
      <c r="W509" s="13">
        <f t="shared" si="39"/>
        <v>1.1976067054419743E-2</v>
      </c>
    </row>
    <row r="510" spans="15:23" x14ac:dyDescent="0.25">
      <c r="O510" s="1">
        <f t="shared" si="40"/>
        <v>999</v>
      </c>
      <c r="Q510" s="12">
        <f t="shared" si="36"/>
        <v>2.3452079005615162E-5</v>
      </c>
      <c r="S510" s="13">
        <f t="shared" si="37"/>
        <v>2.3428626926609547E-2</v>
      </c>
      <c r="U510" s="13">
        <f t="shared" si="38"/>
        <v>1.0553435552526823E-2</v>
      </c>
      <c r="V510" s="12"/>
      <c r="W510" s="13">
        <f t="shared" si="39"/>
        <v>1.2125398599220958E-2</v>
      </c>
    </row>
    <row r="511" spans="15:23" x14ac:dyDescent="0.25">
      <c r="O511" s="1">
        <f t="shared" si="40"/>
        <v>998</v>
      </c>
      <c r="Q511" s="12">
        <f t="shared" si="36"/>
        <v>2.3787616969837671E-5</v>
      </c>
      <c r="S511" s="13">
        <f t="shared" si="37"/>
        <v>2.3740041735897995E-2</v>
      </c>
      <c r="U511" s="13">
        <f t="shared" si="38"/>
        <v>1.0704427636426952E-2</v>
      </c>
      <c r="V511" s="12"/>
      <c r="W511" s="13">
        <f t="shared" si="39"/>
        <v>1.2276479032372604E-2</v>
      </c>
    </row>
    <row r="512" spans="15:23" x14ac:dyDescent="0.25">
      <c r="O512" s="1">
        <f t="shared" si="40"/>
        <v>997</v>
      </c>
      <c r="Q512" s="12">
        <f t="shared" si="36"/>
        <v>2.4127812501995898E-5</v>
      </c>
      <c r="S512" s="13">
        <f t="shared" si="37"/>
        <v>2.405542906448991E-2</v>
      </c>
      <c r="U512" s="13">
        <f t="shared" si="38"/>
        <v>1.0857515625898154E-2</v>
      </c>
      <c r="V512" s="12"/>
      <c r="W512" s="13">
        <f t="shared" si="39"/>
        <v>1.2429326793780653E-2</v>
      </c>
    </row>
    <row r="513" spans="15:23" x14ac:dyDescent="0.25">
      <c r="O513" s="1">
        <f t="shared" si="40"/>
        <v>996</v>
      </c>
      <c r="Q513" s="12">
        <f t="shared" si="36"/>
        <v>2.4472727360444487E-5</v>
      </c>
      <c r="S513" s="13">
        <f t="shared" si="37"/>
        <v>2.4374836451002708E-2</v>
      </c>
      <c r="U513" s="13">
        <f t="shared" si="38"/>
        <v>1.1012727312200019E-2</v>
      </c>
      <c r="V513" s="12"/>
      <c r="W513" s="13">
        <f t="shared" si="39"/>
        <v>1.2583960480806341E-2</v>
      </c>
    </row>
    <row r="514" spans="15:23" x14ac:dyDescent="0.25">
      <c r="O514" s="1">
        <f t="shared" si="40"/>
        <v>995</v>
      </c>
      <c r="Q514" s="12">
        <f t="shared" si="36"/>
        <v>2.4822424064851313E-5</v>
      </c>
      <c r="S514" s="13">
        <f t="shared" si="37"/>
        <v>2.4698311944527058E-2</v>
      </c>
      <c r="U514" s="13">
        <f t="shared" si="38"/>
        <v>1.1170090829183091E-2</v>
      </c>
      <c r="V514" s="12"/>
      <c r="W514" s="13">
        <f t="shared" si="39"/>
        <v>1.2740398848916496E-2</v>
      </c>
    </row>
    <row r="515" spans="15:23" x14ac:dyDescent="0.25">
      <c r="O515" s="1">
        <f t="shared" si="40"/>
        <v>994</v>
      </c>
      <c r="Q515" s="12">
        <f t="shared" si="36"/>
        <v>2.5176965904438576E-5</v>
      </c>
      <c r="S515" s="13">
        <f t="shared" si="37"/>
        <v>2.5025904109011943E-2</v>
      </c>
      <c r="U515" s="13">
        <f t="shared" si="38"/>
        <v>1.1329634656997359E-2</v>
      </c>
      <c r="V515" s="12"/>
      <c r="W515" s="13">
        <f t="shared" si="39"/>
        <v>1.2898660812320708E-2</v>
      </c>
    </row>
    <row r="516" spans="15:23" x14ac:dyDescent="0.25">
      <c r="O516" s="1">
        <f t="shared" si="40"/>
        <v>993</v>
      </c>
      <c r="Q516" s="12">
        <f t="shared" si="36"/>
        <v>2.5536416946291048E-5</v>
      </c>
      <c r="S516" s="13">
        <f t="shared" si="37"/>
        <v>2.5357662027667011E-2</v>
      </c>
      <c r="U516" s="13">
        <f t="shared" si="38"/>
        <v>1.1491387625830973E-2</v>
      </c>
      <c r="V516" s="12"/>
      <c r="W516" s="13">
        <f t="shared" si="39"/>
        <v>1.3058765444596323E-2</v>
      </c>
    </row>
    <row r="517" spans="15:23" x14ac:dyDescent="0.25">
      <c r="O517" s="1">
        <f t="shared" si="40"/>
        <v>992</v>
      </c>
      <c r="Q517" s="12">
        <f t="shared" si="36"/>
        <v>2.5900842043730447E-5</v>
      </c>
      <c r="S517" s="13">
        <f t="shared" si="37"/>
        <v>2.5693635307380603E-2</v>
      </c>
      <c r="U517" s="13">
        <f t="shared" si="38"/>
        <v>1.16553789196787E-2</v>
      </c>
      <c r="V517" s="12"/>
      <c r="W517" s="13">
        <f t="shared" si="39"/>
        <v>1.3220731979300182E-2</v>
      </c>
    </row>
    <row r="518" spans="15:23" x14ac:dyDescent="0.25">
      <c r="O518" s="1">
        <f t="shared" si="40"/>
        <v>991</v>
      </c>
      <c r="Q518" s="12">
        <f t="shared" si="36"/>
        <v>2.6270306844754393E-5</v>
      </c>
      <c r="S518" s="13">
        <f t="shared" si="37"/>
        <v>2.6033874083151602E-2</v>
      </c>
      <c r="U518" s="13">
        <f t="shared" si="38"/>
        <v>1.1821638080139477E-2</v>
      </c>
      <c r="V518" s="12"/>
      <c r="W518" s="13">
        <f t="shared" si="39"/>
        <v>1.3384579810565981E-2</v>
      </c>
    </row>
    <row r="519" spans="15:23" x14ac:dyDescent="0.25">
      <c r="O519" s="1">
        <f t="shared" si="40"/>
        <v>990</v>
      </c>
      <c r="Q519" s="12">
        <f t="shared" si="36"/>
        <v>2.6644877800545116E-5</v>
      </c>
      <c r="S519" s="13">
        <f t="shared" si="37"/>
        <v>2.6378429022539666E-2</v>
      </c>
      <c r="U519" s="13">
        <f t="shared" si="38"/>
        <v>1.1990195010245302E-2</v>
      </c>
      <c r="V519" s="12"/>
      <c r="W519" s="13">
        <f t="shared" si="39"/>
        <v>1.3550328493689427E-2</v>
      </c>
    </row>
    <row r="520" spans="15:23" x14ac:dyDescent="0.25">
      <c r="O520" s="1">
        <f t="shared" si="40"/>
        <v>989</v>
      </c>
      <c r="Q520" s="12">
        <f t="shared" si="36"/>
        <v>2.7024622174039889E-5</v>
      </c>
      <c r="S520" s="13">
        <f t="shared" si="37"/>
        <v>2.6727351330125451E-2</v>
      </c>
      <c r="U520" s="13">
        <f t="shared" si="38"/>
        <v>1.2161079978317951E-2</v>
      </c>
      <c r="V520" s="12"/>
      <c r="W520" s="13">
        <f t="shared" si="39"/>
        <v>1.3717997745696594E-2</v>
      </c>
    </row>
    <row r="521" spans="15:23" x14ac:dyDescent="0.25">
      <c r="O521" s="1">
        <f t="shared" si="40"/>
        <v>988</v>
      </c>
      <c r="Q521" s="12">
        <f t="shared" si="36"/>
        <v>2.7409608048570924E-5</v>
      </c>
      <c r="S521" s="13">
        <f t="shared" si="37"/>
        <v>2.7080692751988072E-2</v>
      </c>
      <c r="U521" s="13">
        <f t="shared" si="38"/>
        <v>1.2334323621856916E-2</v>
      </c>
      <c r="V521" s="12"/>
      <c r="W521" s="13">
        <f t="shared" si="39"/>
        <v>1.3887607445899132E-2</v>
      </c>
    </row>
    <row r="522" spans="15:23" x14ac:dyDescent="0.25">
      <c r="O522" s="1">
        <f t="shared" si="40"/>
        <v>987</v>
      </c>
      <c r="Q522" s="12">
        <f t="shared" ref="Q522:Q585" si="41">_xlfn.LOGNORM.DIST(O522,$D$25,$D$26,FALSE)</f>
        <v>2.7799904336569892E-5</v>
      </c>
      <c r="S522" s="13">
        <f t="shared" ref="S522:S585" si="42">IF(O522&gt;$D$6,O522*Q522,0)</f>
        <v>2.7438505580194485E-2</v>
      </c>
      <c r="U522" s="13">
        <f t="shared" ref="U522:U585" si="43">IF(O522&gt;$D$6,$D$6*Q522,0)</f>
        <v>1.2509956951456451E-2</v>
      </c>
      <c r="V522" s="12"/>
      <c r="W522" s="13">
        <f t="shared" ref="W522:W585" si="44">(S522-U522)*EXP(-$D$9*$D$7)</f>
        <v>1.4059177636433251E-2</v>
      </c>
    </row>
    <row r="523" spans="15:23" x14ac:dyDescent="0.25">
      <c r="O523" s="1">
        <f t="shared" ref="O523:O586" si="45">O522-1</f>
        <v>986</v>
      </c>
      <c r="Q523" s="12">
        <f t="shared" si="41"/>
        <v>2.8195580788338179E-5</v>
      </c>
      <c r="S523" s="13">
        <f t="shared" si="42"/>
        <v>2.7800842657301445E-2</v>
      </c>
      <c r="U523" s="13">
        <f t="shared" si="43"/>
        <v>1.268801135475218E-2</v>
      </c>
      <c r="V523" s="12"/>
      <c r="W523" s="13">
        <f t="shared" si="44"/>
        <v>1.4232728522782742E-2</v>
      </c>
    </row>
    <row r="524" spans="15:23" x14ac:dyDescent="0.25">
      <c r="O524" s="1">
        <f t="shared" si="45"/>
        <v>985</v>
      </c>
      <c r="Q524" s="12">
        <f t="shared" si="41"/>
        <v>2.859670800088381E-5</v>
      </c>
      <c r="S524" s="13">
        <f t="shared" si="42"/>
        <v>2.8167757380870552E-2</v>
      </c>
      <c r="U524" s="13">
        <f t="shared" si="43"/>
        <v>1.2868518600397715E-2</v>
      </c>
      <c r="V524" s="12"/>
      <c r="W524" s="13">
        <f t="shared" si="44"/>
        <v>1.4408280474286052E-2</v>
      </c>
    </row>
    <row r="525" spans="15:23" x14ac:dyDescent="0.25">
      <c r="O525" s="1">
        <f t="shared" si="45"/>
        <v>984</v>
      </c>
      <c r="Q525" s="12">
        <f t="shared" si="41"/>
        <v>2.9003357426824727E-5</v>
      </c>
      <c r="S525" s="13">
        <f t="shared" si="42"/>
        <v>2.8539303707995532E-2</v>
      </c>
      <c r="U525" s="13">
        <f t="shared" si="43"/>
        <v>1.3051510842071127E-2</v>
      </c>
      <c r="V525" s="12"/>
      <c r="W525" s="13">
        <f t="shared" si="44"/>
        <v>1.4585854024626753E-2</v>
      </c>
    </row>
    <row r="526" spans="15:23" x14ac:dyDescent="0.25">
      <c r="O526" s="1">
        <f t="shared" si="45"/>
        <v>983</v>
      </c>
      <c r="Q526" s="12">
        <f t="shared" si="41"/>
        <v>2.9415601383355826E-5</v>
      </c>
      <c r="S526" s="13">
        <f t="shared" si="42"/>
        <v>2.8915536159838776E-2</v>
      </c>
      <c r="U526" s="13">
        <f t="shared" si="43"/>
        <v>1.3237020622510122E-2</v>
      </c>
      <c r="V526" s="12"/>
      <c r="W526" s="13">
        <f t="shared" si="44"/>
        <v>1.4765469872305717E-2</v>
      </c>
    </row>
    <row r="527" spans="15:23" x14ac:dyDescent="0.25">
      <c r="O527" s="1">
        <f t="shared" si="45"/>
        <v>982</v>
      </c>
      <c r="Q527" s="12">
        <f t="shared" si="41"/>
        <v>2.9833513061283878E-5</v>
      </c>
      <c r="S527" s="13">
        <f t="shared" si="42"/>
        <v>2.9296509826180768E-2</v>
      </c>
      <c r="U527" s="13">
        <f t="shared" si="43"/>
        <v>1.3425080877577746E-2</v>
      </c>
      <c r="V527" s="12"/>
      <c r="W527" s="13">
        <f t="shared" si="44"/>
        <v>1.4947148881096668E-2</v>
      </c>
    </row>
    <row r="528" spans="15:23" x14ac:dyDescent="0.25">
      <c r="O528" s="1">
        <f t="shared" si="45"/>
        <v>981</v>
      </c>
      <c r="Q528" s="12">
        <f t="shared" si="41"/>
        <v>3.0257166534125732E-5</v>
      </c>
      <c r="S528" s="13">
        <f t="shared" si="42"/>
        <v>2.9682280369977342E-2</v>
      </c>
      <c r="U528" s="13">
        <f t="shared" si="43"/>
        <v>1.361572494035658E-2</v>
      </c>
      <c r="V528" s="12"/>
      <c r="W528" s="13">
        <f t="shared" si="44"/>
        <v>1.5130912080482275E-2</v>
      </c>
    </row>
    <row r="529" spans="15:23" x14ac:dyDescent="0.25">
      <c r="O529" s="1">
        <f t="shared" si="45"/>
        <v>980</v>
      </c>
      <c r="Q529" s="12">
        <f t="shared" si="41"/>
        <v>3.0686636767274682E-5</v>
      </c>
      <c r="S529" s="13">
        <f t="shared" si="42"/>
        <v>3.0072904031929189E-2</v>
      </c>
      <c r="U529" s="13">
        <f t="shared" si="43"/>
        <v>1.3808986545273606E-2</v>
      </c>
      <c r="V529" s="12"/>
      <c r="W529" s="13">
        <f t="shared" si="44"/>
        <v>1.5316780666072902E-2</v>
      </c>
    </row>
    <row r="530" spans="15:23" x14ac:dyDescent="0.25">
      <c r="O530" s="1">
        <f t="shared" si="45"/>
        <v>979</v>
      </c>
      <c r="Q530" s="12">
        <f t="shared" si="41"/>
        <v>3.1121999627227018E-5</v>
      </c>
      <c r="S530" s="13">
        <f t="shared" si="42"/>
        <v>3.0468437635055252E-2</v>
      </c>
      <c r="U530" s="13">
        <f t="shared" si="43"/>
        <v>1.4004899832252159E-2</v>
      </c>
      <c r="V530" s="12"/>
      <c r="W530" s="13">
        <f t="shared" si="44"/>
        <v>1.5504776000003504E-2</v>
      </c>
    </row>
    <row r="531" spans="15:23" x14ac:dyDescent="0.25">
      <c r="O531" s="1">
        <f t="shared" si="45"/>
        <v>978</v>
      </c>
      <c r="Q531" s="12">
        <f t="shared" si="41"/>
        <v>3.1563331890880422E-5</v>
      </c>
      <c r="S531" s="13">
        <f t="shared" si="42"/>
        <v>3.0868938589281053E-2</v>
      </c>
      <c r="U531" s="13">
        <f t="shared" si="43"/>
        <v>1.420349935089619E-2</v>
      </c>
      <c r="V531" s="12"/>
      <c r="W531" s="13">
        <f t="shared" si="44"/>
        <v>1.5694919611314161E-2</v>
      </c>
    </row>
    <row r="532" spans="15:23" x14ac:dyDescent="0.25">
      <c r="O532" s="1">
        <f t="shared" si="45"/>
        <v>977</v>
      </c>
      <c r="Q532" s="12">
        <f t="shared" si="41"/>
        <v>3.2010711254890921E-5</v>
      </c>
      <c r="S532" s="13">
        <f t="shared" si="42"/>
        <v>3.1274464896028427E-2</v>
      </c>
      <c r="U532" s="13">
        <f t="shared" si="43"/>
        <v>1.4404820064700915E-2</v>
      </c>
      <c r="V532" s="12"/>
      <c r="W532" s="13">
        <f t="shared" si="44"/>
        <v>1.5887233196307086E-2</v>
      </c>
    </row>
    <row r="533" spans="15:23" x14ac:dyDescent="0.25">
      <c r="O533" s="1">
        <f t="shared" si="45"/>
        <v>976</v>
      </c>
      <c r="Q533" s="12">
        <f t="shared" si="41"/>
        <v>3.2464216345095843E-5</v>
      </c>
      <c r="S533" s="13">
        <f t="shared" si="42"/>
        <v>3.168507515281354E-2</v>
      </c>
      <c r="U533" s="13">
        <f t="shared" si="43"/>
        <v>1.4608897355293129E-2</v>
      </c>
      <c r="V533" s="12"/>
      <c r="W533" s="13">
        <f t="shared" si="44"/>
        <v>1.6081738618883512E-2</v>
      </c>
    </row>
    <row r="534" spans="15:23" x14ac:dyDescent="0.25">
      <c r="O534" s="1">
        <f t="shared" si="45"/>
        <v>975</v>
      </c>
      <c r="Q534" s="12">
        <f t="shared" si="41"/>
        <v>3.2923926726003665E-5</v>
      </c>
      <c r="S534" s="13">
        <f t="shared" si="42"/>
        <v>3.2100828557853574E-2</v>
      </c>
      <c r="U534" s="13">
        <f t="shared" si="43"/>
        <v>1.4815767026701648E-2</v>
      </c>
      <c r="V534" s="12"/>
      <c r="W534" s="13">
        <f t="shared" si="44"/>
        <v>1.6278457910860335E-2</v>
      </c>
    </row>
    <row r="535" spans="15:23" x14ac:dyDescent="0.25">
      <c r="O535" s="1">
        <f t="shared" si="45"/>
        <v>974</v>
      </c>
      <c r="Q535" s="12">
        <f t="shared" si="41"/>
        <v>3.3389922910345567E-5</v>
      </c>
      <c r="S535" s="13">
        <f t="shared" si="42"/>
        <v>3.2521784914676583E-2</v>
      </c>
      <c r="U535" s="13">
        <f t="shared" si="43"/>
        <v>1.5025465309655504E-2</v>
      </c>
      <c r="V535" s="12"/>
      <c r="W535" s="13">
        <f t="shared" si="44"/>
        <v>1.6477413272263621E-2</v>
      </c>
    </row>
    <row r="536" spans="15:23" x14ac:dyDescent="0.25">
      <c r="O536" s="1">
        <f t="shared" si="45"/>
        <v>973</v>
      </c>
      <c r="Q536" s="12">
        <f t="shared" si="41"/>
        <v>3.3862286368688733E-5</v>
      </c>
      <c r="S536" s="13">
        <f t="shared" si="42"/>
        <v>3.2948004636734141E-2</v>
      </c>
      <c r="U536" s="13">
        <f t="shared" si="43"/>
        <v>1.523802886590993E-2</v>
      </c>
      <c r="V536" s="12"/>
      <c r="W536" s="13">
        <f t="shared" si="44"/>
        <v>1.667862707159861E-2</v>
      </c>
    </row>
    <row r="537" spans="15:23" x14ac:dyDescent="0.25">
      <c r="O537" s="1">
        <f t="shared" si="45"/>
        <v>972</v>
      </c>
      <c r="Q537" s="12">
        <f t="shared" si="41"/>
        <v>3.4341099539116663E-5</v>
      </c>
      <c r="S537" s="13">
        <f t="shared" si="42"/>
        <v>3.3379548752021398E-2</v>
      </c>
      <c r="U537" s="13">
        <f t="shared" si="43"/>
        <v>1.5453494792602499E-2</v>
      </c>
      <c r="V537" s="12"/>
      <c r="W537" s="13">
        <f t="shared" si="44"/>
        <v>1.6882121846098216E-2</v>
      </c>
    </row>
    <row r="538" spans="15:23" x14ac:dyDescent="0.25">
      <c r="O538" s="1">
        <f t="shared" si="45"/>
        <v>971</v>
      </c>
      <c r="Q538" s="12">
        <f t="shared" si="41"/>
        <v>3.4826445836969924E-5</v>
      </c>
      <c r="S538" s="13">
        <f t="shared" si="42"/>
        <v>3.3816478907697796E-2</v>
      </c>
      <c r="U538" s="13">
        <f t="shared" si="43"/>
        <v>1.5671900626636464E-2</v>
      </c>
      <c r="V538" s="12"/>
      <c r="W538" s="13">
        <f t="shared" si="44"/>
        <v>1.7087920301946613E-2</v>
      </c>
    </row>
    <row r="539" spans="15:23" x14ac:dyDescent="0.25">
      <c r="O539" s="1">
        <f t="shared" si="45"/>
        <v>970</v>
      </c>
      <c r="Q539" s="12">
        <f t="shared" si="41"/>
        <v>3.5318409664650642E-5</v>
      </c>
      <c r="S539" s="13">
        <f t="shared" si="42"/>
        <v>3.425885737471112E-2</v>
      </c>
      <c r="U539" s="13">
        <f t="shared" si="43"/>
        <v>1.589328434909279E-2</v>
      </c>
      <c r="V539" s="12"/>
      <c r="W539" s="13">
        <f t="shared" si="44"/>
        <v>1.7296045314478908E-2</v>
      </c>
    </row>
    <row r="540" spans="15:23" x14ac:dyDescent="0.25">
      <c r="O540" s="1">
        <f t="shared" si="45"/>
        <v>969</v>
      </c>
      <c r="Q540" s="12">
        <f t="shared" si="41"/>
        <v>3.5817076421487383E-5</v>
      </c>
      <c r="S540" s="13">
        <f t="shared" si="42"/>
        <v>3.4706747052421272E-2</v>
      </c>
      <c r="U540" s="13">
        <f t="shared" si="43"/>
        <v>1.6117684389669321E-2</v>
      </c>
      <c r="V540" s="12"/>
      <c r="W540" s="13">
        <f t="shared" si="44"/>
        <v>1.7506519928354964E-2</v>
      </c>
    </row>
    <row r="541" spans="15:23" x14ac:dyDescent="0.25">
      <c r="O541" s="1">
        <f t="shared" si="45"/>
        <v>968</v>
      </c>
      <c r="Q541" s="12">
        <f t="shared" si="41"/>
        <v>3.6322532513663782E-5</v>
      </c>
      <c r="S541" s="13">
        <f t="shared" si="42"/>
        <v>3.5160211473226538E-2</v>
      </c>
      <c r="U541" s="13">
        <f t="shared" si="43"/>
        <v>1.6345139631148701E-2</v>
      </c>
      <c r="V541" s="12"/>
      <c r="W541" s="13">
        <f t="shared" si="44"/>
        <v>1.7719367357708567E-2</v>
      </c>
    </row>
    <row r="542" spans="15:23" x14ac:dyDescent="0.25">
      <c r="O542" s="1">
        <f t="shared" si="45"/>
        <v>967</v>
      </c>
      <c r="Q542" s="12">
        <f t="shared" si="41"/>
        <v>3.6834865364206664E-5</v>
      </c>
      <c r="S542" s="13">
        <f t="shared" si="42"/>
        <v>3.5619314807187843E-2</v>
      </c>
      <c r="U542" s="13">
        <f t="shared" si="43"/>
        <v>1.6575689413892997E-2</v>
      </c>
      <c r="V542" s="12"/>
      <c r="W542" s="13">
        <f t="shared" si="44"/>
        <v>1.7934610986269476E-2</v>
      </c>
    </row>
    <row r="543" spans="15:23" x14ac:dyDescent="0.25">
      <c r="O543" s="1">
        <f t="shared" si="45"/>
        <v>966</v>
      </c>
      <c r="Q543" s="12">
        <f t="shared" si="41"/>
        <v>3.7354163423037054E-5</v>
      </c>
      <c r="S543" s="13">
        <f t="shared" si="42"/>
        <v>3.6084121866653794E-2</v>
      </c>
      <c r="U543" s="13">
        <f t="shared" si="43"/>
        <v>1.6809373540366674E-2</v>
      </c>
      <c r="V543" s="12"/>
      <c r="W543" s="13">
        <f t="shared" si="44"/>
        <v>1.8152274367459569E-2</v>
      </c>
    </row>
    <row r="544" spans="15:23" x14ac:dyDescent="0.25">
      <c r="O544" s="1">
        <f t="shared" si="45"/>
        <v>965</v>
      </c>
      <c r="Q544" s="12">
        <f t="shared" si="41"/>
        <v>3.7880516177078189E-5</v>
      </c>
      <c r="S544" s="13">
        <f t="shared" si="42"/>
        <v>3.6554698110880454E-2</v>
      </c>
      <c r="U544" s="13">
        <f t="shared" si="43"/>
        <v>1.7046232279685186E-2</v>
      </c>
      <c r="V544" s="12"/>
      <c r="W544" s="13">
        <f t="shared" si="44"/>
        <v>1.8372381224459864E-2</v>
      </c>
    </row>
    <row r="545" spans="15:23" x14ac:dyDescent="0.25">
      <c r="O545" s="1">
        <f t="shared" si="45"/>
        <v>964</v>
      </c>
      <c r="Q545" s="12">
        <f t="shared" si="41"/>
        <v>3.8414014160427085E-5</v>
      </c>
      <c r="S545" s="13">
        <f t="shared" si="42"/>
        <v>3.7031109650651713E-2</v>
      </c>
      <c r="U545" s="13">
        <f t="shared" si="43"/>
        <v>1.7286306372192188E-2</v>
      </c>
      <c r="V545" s="12"/>
      <c r="W545" s="13">
        <f t="shared" si="44"/>
        <v>1.859495545025118E-2</v>
      </c>
    </row>
    <row r="546" spans="15:23" x14ac:dyDescent="0.25">
      <c r="O546" s="1">
        <f t="shared" si="45"/>
        <v>963</v>
      </c>
      <c r="Q546" s="12">
        <f t="shared" si="41"/>
        <v>3.8954748964581462E-5</v>
      </c>
      <c r="S546" s="13">
        <f t="shared" si="42"/>
        <v>3.7513423252891948E-2</v>
      </c>
      <c r="U546" s="13">
        <f t="shared" si="43"/>
        <v>1.7529637034061657E-2</v>
      </c>
      <c r="V546" s="12"/>
      <c r="W546" s="13">
        <f t="shared" si="44"/>
        <v>1.8820021107624044E-2</v>
      </c>
    </row>
    <row r="547" spans="15:23" x14ac:dyDescent="0.25">
      <c r="O547" s="1">
        <f t="shared" si="45"/>
        <v>962</v>
      </c>
      <c r="Q547" s="12">
        <f t="shared" si="41"/>
        <v>3.9502813248728819E-5</v>
      </c>
      <c r="S547" s="13">
        <f t="shared" si="42"/>
        <v>3.8001706345277123E-2</v>
      </c>
      <c r="U547" s="13">
        <f t="shared" si="43"/>
        <v>1.7776265961927967E-2</v>
      </c>
      <c r="V547" s="12"/>
      <c r="W547" s="13">
        <f t="shared" si="44"/>
        <v>1.9047602429160846E-2</v>
      </c>
    </row>
    <row r="548" spans="15:23" x14ac:dyDescent="0.25">
      <c r="O548" s="1">
        <f t="shared" si="45"/>
        <v>961</v>
      </c>
      <c r="Q548" s="12">
        <f t="shared" si="41"/>
        <v>4.0058300750089873E-5</v>
      </c>
      <c r="S548" s="13">
        <f t="shared" si="42"/>
        <v>3.8496027020836369E-2</v>
      </c>
      <c r="U548" s="13">
        <f t="shared" si="43"/>
        <v>1.8026235337540442E-2</v>
      </c>
      <c r="V548" s="12"/>
      <c r="W548" s="13">
        <f t="shared" si="44"/>
        <v>1.9277723817185923E-2</v>
      </c>
    </row>
    <row r="549" spans="15:23" x14ac:dyDescent="0.25">
      <c r="O549" s="1">
        <f t="shared" si="45"/>
        <v>960</v>
      </c>
      <c r="Q549" s="12">
        <f t="shared" si="41"/>
        <v>4.0621306294322807E-5</v>
      </c>
      <c r="S549" s="13">
        <f t="shared" si="42"/>
        <v>3.8996454042549894E-2</v>
      </c>
      <c r="U549" s="13">
        <f t="shared" si="43"/>
        <v>1.8279587832445262E-2</v>
      </c>
      <c r="V549" s="12"/>
      <c r="W549" s="13">
        <f t="shared" si="44"/>
        <v>1.9510409843686471E-2</v>
      </c>
    </row>
    <row r="550" spans="15:23" x14ac:dyDescent="0.25">
      <c r="O550" s="1">
        <f t="shared" si="45"/>
        <v>959</v>
      </c>
      <c r="Q550" s="12">
        <f t="shared" si="41"/>
        <v>4.1191925805981532E-5</v>
      </c>
      <c r="S550" s="13">
        <f t="shared" si="42"/>
        <v>3.9503056847936292E-2</v>
      </c>
      <c r="U550" s="13">
        <f t="shared" si="43"/>
        <v>1.8536366612691691E-2</v>
      </c>
      <c r="V550" s="12"/>
      <c r="W550" s="13">
        <f t="shared" si="44"/>
        <v>1.9745685250200554E-2</v>
      </c>
    </row>
    <row r="551" spans="15:23" x14ac:dyDescent="0.25">
      <c r="O551" s="1">
        <f t="shared" si="45"/>
        <v>958</v>
      </c>
      <c r="Q551" s="12">
        <f t="shared" si="41"/>
        <v>4.1770256319031926E-5</v>
      </c>
      <c r="S551" s="13">
        <f t="shared" si="42"/>
        <v>4.0015905553632582E-2</v>
      </c>
      <c r="U551" s="13">
        <f t="shared" si="43"/>
        <v>1.8796615343564367E-2</v>
      </c>
      <c r="V551" s="12"/>
      <c r="W551" s="13">
        <f t="shared" si="44"/>
        <v>1.9983574947673707E-2</v>
      </c>
    </row>
    <row r="552" spans="15:23" x14ac:dyDescent="0.25">
      <c r="O552" s="1">
        <f t="shared" si="45"/>
        <v>957</v>
      </c>
      <c r="Q552" s="12">
        <f t="shared" si="41"/>
        <v>4.2356395987419883E-5</v>
      </c>
      <c r="S552" s="13">
        <f t="shared" si="42"/>
        <v>4.0535070959960826E-2</v>
      </c>
      <c r="U552" s="13">
        <f t="shared" si="43"/>
        <v>1.9060378194338947E-2</v>
      </c>
      <c r="V552" s="12"/>
      <c r="W552" s="13">
        <f t="shared" si="44"/>
        <v>2.0224104016280928E-2</v>
      </c>
    </row>
    <row r="553" spans="15:23" x14ac:dyDescent="0.25">
      <c r="O553" s="1">
        <f t="shared" si="45"/>
        <v>956</v>
      </c>
      <c r="Q553" s="12">
        <f t="shared" si="41"/>
        <v>4.2950444095699329E-5</v>
      </c>
      <c r="S553" s="13">
        <f t="shared" si="42"/>
        <v>4.1060624555488562E-2</v>
      </c>
      <c r="U553" s="13">
        <f t="shared" si="43"/>
        <v>1.9327699843064698E-2</v>
      </c>
      <c r="V553" s="12"/>
      <c r="W553" s="13">
        <f t="shared" si="44"/>
        <v>2.0467297705217453E-2</v>
      </c>
    </row>
    <row r="554" spans="15:23" x14ac:dyDescent="0.25">
      <c r="O554" s="1">
        <f t="shared" si="45"/>
        <v>955</v>
      </c>
      <c r="Q554" s="12">
        <f t="shared" si="41"/>
        <v>4.3552501069707535E-5</v>
      </c>
      <c r="S554" s="13">
        <f t="shared" si="42"/>
        <v>4.1592638521570698E-2</v>
      </c>
      <c r="U554" s="13">
        <f t="shared" si="43"/>
        <v>1.9598625481368391E-2</v>
      </c>
      <c r="V554" s="12"/>
      <c r="W554" s="13">
        <f t="shared" si="44"/>
        <v>2.0713181432452009E-2</v>
      </c>
    </row>
    <row r="555" spans="15:23" x14ac:dyDescent="0.25">
      <c r="O555" s="1">
        <f t="shared" si="45"/>
        <v>954</v>
      </c>
      <c r="Q555" s="12">
        <f t="shared" si="41"/>
        <v>4.4162668487299331E-5</v>
      </c>
      <c r="S555" s="13">
        <f t="shared" si="42"/>
        <v>4.2131185736883563E-2</v>
      </c>
      <c r="U555" s="13">
        <f t="shared" si="43"/>
        <v>1.98732008192847E-2</v>
      </c>
      <c r="V555" s="12"/>
      <c r="W555" s="13">
        <f t="shared" si="44"/>
        <v>2.0961780784447735E-2</v>
      </c>
    </row>
    <row r="556" spans="15:23" x14ac:dyDescent="0.25">
      <c r="O556" s="1">
        <f t="shared" si="45"/>
        <v>953</v>
      </c>
      <c r="Q556" s="12">
        <f t="shared" si="41"/>
        <v>4.4781049089128199E-5</v>
      </c>
      <c r="S556" s="13">
        <f t="shared" si="42"/>
        <v>4.2676339781939174E-2</v>
      </c>
      <c r="U556" s="13">
        <f t="shared" si="43"/>
        <v>2.0151472090107689E-2</v>
      </c>
      <c r="V556" s="12"/>
      <c r="W556" s="13">
        <f t="shared" si="44"/>
        <v>2.1213121515844591E-2</v>
      </c>
    </row>
    <row r="557" spans="15:23" x14ac:dyDescent="0.25">
      <c r="O557" s="1">
        <f t="shared" si="45"/>
        <v>952</v>
      </c>
      <c r="Q557" s="12">
        <f t="shared" si="41"/>
        <v>4.5407746789480109E-5</v>
      </c>
      <c r="S557" s="13">
        <f t="shared" si="42"/>
        <v>4.3228174943585065E-2</v>
      </c>
      <c r="U557" s="13">
        <f t="shared" si="43"/>
        <v>2.0433486055266049E-2</v>
      </c>
      <c r="V557" s="12"/>
      <c r="W557" s="13">
        <f t="shared" si="44"/>
        <v>2.1467229549105814E-2</v>
      </c>
    </row>
    <row r="558" spans="15:23" x14ac:dyDescent="0.25">
      <c r="O558" s="1">
        <f t="shared" si="45"/>
        <v>951</v>
      </c>
      <c r="Q558" s="12">
        <f t="shared" si="41"/>
        <v>4.6042866687159469E-5</v>
      </c>
      <c r="S558" s="13">
        <f t="shared" si="42"/>
        <v>4.3786766219488654E-2</v>
      </c>
      <c r="U558" s="13">
        <f t="shared" si="43"/>
        <v>2.071929000922176E-2</v>
      </c>
      <c r="V558" s="12"/>
      <c r="W558" s="13">
        <f t="shared" si="44"/>
        <v>2.1724130974127755E-2</v>
      </c>
    </row>
    <row r="559" spans="15:23" x14ac:dyDescent="0.25">
      <c r="O559" s="1">
        <f t="shared" si="45"/>
        <v>950</v>
      </c>
      <c r="Q559" s="12">
        <f t="shared" si="41"/>
        <v>4.6686515076422283E-5</v>
      </c>
      <c r="S559" s="13">
        <f t="shared" si="42"/>
        <v>4.4352189322601168E-2</v>
      </c>
      <c r="U559" s="13">
        <f t="shared" si="43"/>
        <v>2.1008931784390027E-2</v>
      </c>
      <c r="V559" s="12"/>
      <c r="W559" s="13">
        <f t="shared" si="44"/>
        <v>2.1983852047810414E-2</v>
      </c>
    </row>
    <row r="560" spans="15:23" x14ac:dyDescent="0.25">
      <c r="O560" s="1">
        <f t="shared" si="45"/>
        <v>949</v>
      </c>
      <c r="Q560" s="12">
        <f t="shared" si="41"/>
        <v>4.7338799457956541E-5</v>
      </c>
      <c r="S560" s="13">
        <f t="shared" si="42"/>
        <v>4.4924520685600759E-2</v>
      </c>
      <c r="U560" s="13">
        <f t="shared" si="43"/>
        <v>2.1302459756080444E-2</v>
      </c>
      <c r="V560" s="12"/>
      <c r="W560" s="13">
        <f t="shared" si="44"/>
        <v>2.2246419193588406E-2</v>
      </c>
    </row>
    <row r="561" spans="15:23" x14ac:dyDescent="0.25">
      <c r="O561" s="1">
        <f t="shared" si="45"/>
        <v>948</v>
      </c>
      <c r="Q561" s="12">
        <f t="shared" si="41"/>
        <v>4.7999828549911974E-5</v>
      </c>
      <c r="S561" s="13">
        <f t="shared" si="42"/>
        <v>4.5503837465316554E-2</v>
      </c>
      <c r="U561" s="13">
        <f t="shared" si="43"/>
        <v>2.1599922847460387E-2</v>
      </c>
      <c r="V561" s="12"/>
      <c r="W561" s="13">
        <f t="shared" si="44"/>
        <v>2.2511859000923017E-2</v>
      </c>
    </row>
    <row r="562" spans="15:23" x14ac:dyDescent="0.25">
      <c r="O562" s="1">
        <f t="shared" si="45"/>
        <v>947</v>
      </c>
      <c r="Q562" s="12">
        <f t="shared" si="41"/>
        <v>4.8669712298972522E-5</v>
      </c>
      <c r="S562" s="13">
        <f t="shared" si="42"/>
        <v>4.6090217547126978E-2</v>
      </c>
      <c r="U562" s="13">
        <f t="shared" si="43"/>
        <v>2.1901370534537636E-2</v>
      </c>
      <c r="V562" s="12"/>
      <c r="W562" s="13">
        <f t="shared" si="44"/>
        <v>2.2780198224751951E-2</v>
      </c>
    </row>
    <row r="563" spans="15:23" x14ac:dyDescent="0.25">
      <c r="O563" s="1">
        <f t="shared" si="45"/>
        <v>946</v>
      </c>
      <c r="Q563" s="12">
        <f t="shared" si="41"/>
        <v>4.9348561891479399E-5</v>
      </c>
      <c r="S563" s="13">
        <f t="shared" si="42"/>
        <v>4.6683739549339513E-2</v>
      </c>
      <c r="U563" s="13">
        <f t="shared" si="43"/>
        <v>2.2206852851165731E-2</v>
      </c>
      <c r="V563" s="12"/>
      <c r="W563" s="13">
        <f t="shared" si="44"/>
        <v>2.3051463784900132E-2</v>
      </c>
    </row>
    <row r="564" spans="15:23" x14ac:dyDescent="0.25">
      <c r="O564" s="1">
        <f t="shared" si="45"/>
        <v>945</v>
      </c>
      <c r="Q564" s="12">
        <f t="shared" si="41"/>
        <v>5.0036489764590598E-5</v>
      </c>
      <c r="S564" s="13">
        <f t="shared" si="42"/>
        <v>4.7284482827538117E-2</v>
      </c>
      <c r="U564" s="13">
        <f t="shared" si="43"/>
        <v>2.2516420394065768E-2</v>
      </c>
      <c r="V564" s="12"/>
      <c r="W564" s="13">
        <f t="shared" si="44"/>
        <v>2.3325682765444639E-2</v>
      </c>
    </row>
    <row r="565" spans="15:23" x14ac:dyDescent="0.25">
      <c r="O565" s="1">
        <f t="shared" si="45"/>
        <v>944</v>
      </c>
      <c r="Q565" s="12">
        <f t="shared" si="41"/>
        <v>5.073360961748938E-5</v>
      </c>
      <c r="S565" s="13">
        <f t="shared" si="42"/>
        <v>4.7892527478909971E-2</v>
      </c>
      <c r="U565" s="13">
        <f t="shared" si="43"/>
        <v>2.2830124327870221E-2</v>
      </c>
      <c r="V565" s="12"/>
      <c r="W565" s="13">
        <f t="shared" si="44"/>
        <v>2.3602882414039357E-2</v>
      </c>
    </row>
    <row r="566" spans="15:23" x14ac:dyDescent="0.25">
      <c r="O566" s="1">
        <f t="shared" si="45"/>
        <v>943</v>
      </c>
      <c r="Q566" s="12">
        <f t="shared" si="41"/>
        <v>5.1440036422627998E-5</v>
      </c>
      <c r="S566" s="13">
        <f t="shared" si="42"/>
        <v>4.85079543465382E-2</v>
      </c>
      <c r="U566" s="13">
        <f t="shared" si="43"/>
        <v>2.3148016390182598E-2</v>
      </c>
      <c r="V566" s="12"/>
      <c r="W566" s="13">
        <f t="shared" si="44"/>
        <v>2.388309014119272E-2</v>
      </c>
    </row>
    <row r="567" spans="15:23" x14ac:dyDescent="0.25">
      <c r="O567" s="1">
        <f t="shared" si="45"/>
        <v>942</v>
      </c>
      <c r="Q567" s="12">
        <f t="shared" si="41"/>
        <v>5.2155886437017625E-5</v>
      </c>
      <c r="S567" s="13">
        <f t="shared" si="42"/>
        <v>4.91308450236706E-2</v>
      </c>
      <c r="U567" s="13">
        <f t="shared" si="43"/>
        <v>2.3470148896657932E-2</v>
      </c>
      <c r="V567" s="12"/>
      <c r="W567" s="13">
        <f t="shared" si="44"/>
        <v>2.4166333519503223E-2</v>
      </c>
    </row>
    <row r="568" spans="15:23" x14ac:dyDescent="0.25">
      <c r="O568" s="1">
        <f t="shared" si="45"/>
        <v>941</v>
      </c>
      <c r="Q568" s="12">
        <f t="shared" si="41"/>
        <v>5.2881277213552234E-5</v>
      </c>
      <c r="S568" s="13">
        <f t="shared" si="42"/>
        <v>4.9761281857952651E-2</v>
      </c>
      <c r="U568" s="13">
        <f t="shared" si="43"/>
        <v>2.3796574746098507E-2</v>
      </c>
      <c r="V568" s="12"/>
      <c r="W568" s="13">
        <f t="shared" si="44"/>
        <v>2.4452640282846945E-2</v>
      </c>
    </row>
    <row r="569" spans="15:23" x14ac:dyDescent="0.25">
      <c r="O569" s="1">
        <f t="shared" si="45"/>
        <v>940</v>
      </c>
      <c r="Q569" s="12">
        <f t="shared" si="41"/>
        <v>5.3616327612369832E-5</v>
      </c>
      <c r="S569" s="13">
        <f t="shared" si="42"/>
        <v>5.0399347955627644E-2</v>
      </c>
      <c r="U569" s="13">
        <f t="shared" si="43"/>
        <v>2.4127347425566426E-2</v>
      </c>
      <c r="V569" s="12"/>
      <c r="W569" s="13">
        <f t="shared" si="44"/>
        <v>2.4742038325518238E-2</v>
      </c>
    </row>
    <row r="570" spans="15:23" x14ac:dyDescent="0.25">
      <c r="O570" s="1">
        <f t="shared" si="45"/>
        <v>939</v>
      </c>
      <c r="Q570" s="12">
        <f t="shared" si="41"/>
        <v>5.4361157812255109E-5</v>
      </c>
      <c r="S570" s="13">
        <f t="shared" si="42"/>
        <v>5.1045127185707549E-2</v>
      </c>
      <c r="U570" s="13">
        <f t="shared" si="43"/>
        <v>2.4462521015514799E-2</v>
      </c>
      <c r="V570" s="12"/>
      <c r="W570" s="13">
        <f t="shared" si="44"/>
        <v>2.5034555701325348E-2</v>
      </c>
    </row>
    <row r="571" spans="15:23" x14ac:dyDescent="0.25">
      <c r="O571" s="1">
        <f t="shared" si="45"/>
        <v>938</v>
      </c>
      <c r="Q571" s="12">
        <f t="shared" si="41"/>
        <v>5.5115889322068186E-5</v>
      </c>
      <c r="S571" s="13">
        <f t="shared" si="42"/>
        <v>5.1698704184099956E-2</v>
      </c>
      <c r="U571" s="13">
        <f t="shared" si="43"/>
        <v>2.4802150194930685E-2</v>
      </c>
      <c r="V571" s="12"/>
      <c r="W571" s="13">
        <f t="shared" si="44"/>
        <v>2.5330220622633563E-2</v>
      </c>
    </row>
    <row r="572" spans="15:23" x14ac:dyDescent="0.25">
      <c r="O572" s="1">
        <f t="shared" si="45"/>
        <v>937</v>
      </c>
      <c r="Q572" s="12">
        <f t="shared" si="41"/>
        <v>5.5880644992211801E-5</v>
      </c>
      <c r="S572" s="13">
        <f t="shared" si="42"/>
        <v>5.2360164357702459E-2</v>
      </c>
      <c r="U572" s="13">
        <f t="shared" si="43"/>
        <v>2.5146290246495312E-2</v>
      </c>
      <c r="V572" s="12"/>
      <c r="W572" s="13">
        <f t="shared" si="44"/>
        <v>2.562906145936146E-2</v>
      </c>
    </row>
    <row r="573" spans="15:23" x14ac:dyDescent="0.25">
      <c r="O573" s="1">
        <f t="shared" si="45"/>
        <v>936</v>
      </c>
      <c r="Q573" s="12">
        <f t="shared" si="41"/>
        <v>5.6655549026129307E-5</v>
      </c>
      <c r="S573" s="13">
        <f t="shared" si="42"/>
        <v>5.302959388845703E-2</v>
      </c>
      <c r="U573" s="13">
        <f t="shared" si="43"/>
        <v>2.5494997061758187E-2</v>
      </c>
      <c r="V573" s="12"/>
      <c r="W573" s="13">
        <f t="shared" si="44"/>
        <v>2.5931106737926372E-2</v>
      </c>
    </row>
    <row r="574" spans="15:23" x14ac:dyDescent="0.25">
      <c r="O574" s="1">
        <f t="shared" si="45"/>
        <v>935</v>
      </c>
      <c r="Q574" s="12">
        <f t="shared" si="41"/>
        <v>5.7440726991829386E-5</v>
      </c>
      <c r="S574" s="13">
        <f t="shared" si="42"/>
        <v>5.3707079737360476E-2</v>
      </c>
      <c r="U574" s="13">
        <f t="shared" si="43"/>
        <v>2.5848327146323225E-2</v>
      </c>
      <c r="V574" s="12"/>
      <c r="W574" s="13">
        <f t="shared" si="44"/>
        <v>2.6236385140137177E-2</v>
      </c>
    </row>
    <row r="575" spans="15:23" x14ac:dyDescent="0.25">
      <c r="O575" s="1">
        <f t="shared" si="45"/>
        <v>934</v>
      </c>
      <c r="Q575" s="12">
        <f t="shared" si="41"/>
        <v>5.8236305833444483E-5</v>
      </c>
      <c r="S575" s="13">
        <f t="shared" si="42"/>
        <v>5.4392709648437149E-2</v>
      </c>
      <c r="U575" s="13">
        <f t="shared" si="43"/>
        <v>2.6206337625050018E-2</v>
      </c>
      <c r="V575" s="12"/>
      <c r="W575" s="13">
        <f t="shared" si="44"/>
        <v>2.6544925502037298E-2</v>
      </c>
    </row>
    <row r="576" spans="15:23" x14ac:dyDescent="0.25">
      <c r="O576" s="1">
        <f t="shared" si="45"/>
        <v>933</v>
      </c>
      <c r="Q576" s="12">
        <f t="shared" si="41"/>
        <v>5.9042413882807321E-5</v>
      </c>
      <c r="S576" s="13">
        <f t="shared" si="42"/>
        <v>5.5086572152659233E-2</v>
      </c>
      <c r="U576" s="13">
        <f t="shared" si="43"/>
        <v>2.6569086247263295E-2</v>
      </c>
      <c r="V576" s="12"/>
      <c r="W576" s="13">
        <f t="shared" si="44"/>
        <v>2.6856756812690591E-2</v>
      </c>
    </row>
    <row r="577" spans="15:23" x14ac:dyDescent="0.25">
      <c r="O577" s="1">
        <f t="shared" si="45"/>
        <v>932</v>
      </c>
      <c r="Q577" s="12">
        <f t="shared" si="41"/>
        <v>5.9859180871060327E-5</v>
      </c>
      <c r="S577" s="13">
        <f t="shared" si="42"/>
        <v>5.5788756571828226E-2</v>
      </c>
      <c r="U577" s="13">
        <f t="shared" si="43"/>
        <v>2.6936631391977148E-2</v>
      </c>
      <c r="V577" s="12"/>
      <c r="W577" s="13">
        <f t="shared" si="44"/>
        <v>2.7171908212916807E-2</v>
      </c>
    </row>
    <row r="578" spans="15:23" x14ac:dyDescent="0.25">
      <c r="O578" s="1">
        <f t="shared" si="45"/>
        <v>931</v>
      </c>
      <c r="Q578" s="12">
        <f t="shared" si="41"/>
        <v>6.0686737940281203E-5</v>
      </c>
      <c r="S578" s="13">
        <f t="shared" si="42"/>
        <v>5.6499353022401798E-2</v>
      </c>
      <c r="U578" s="13">
        <f t="shared" si="43"/>
        <v>2.730903207312654E-2</v>
      </c>
      <c r="V578" s="12"/>
      <c r="W578" s="13">
        <f t="shared" si="44"/>
        <v>2.7490408993968738E-2</v>
      </c>
    </row>
    <row r="579" spans="15:23" x14ac:dyDescent="0.25">
      <c r="O579" s="1">
        <f t="shared" si="45"/>
        <v>930</v>
      </c>
      <c r="Q579" s="12">
        <f t="shared" si="41"/>
        <v>6.1525217655136391E-5</v>
      </c>
      <c r="S579" s="13">
        <f t="shared" si="42"/>
        <v>5.7218452419276845E-2</v>
      </c>
      <c r="U579" s="13">
        <f t="shared" si="43"/>
        <v>2.7686347944811375E-2</v>
      </c>
      <c r="V579" s="12"/>
      <c r="W579" s="13">
        <f t="shared" si="44"/>
        <v>2.7812288596156278E-2</v>
      </c>
    </row>
    <row r="580" spans="15:23" x14ac:dyDescent="0.25">
      <c r="O580" s="1">
        <f t="shared" si="45"/>
        <v>929</v>
      </c>
      <c r="Q580" s="12">
        <f t="shared" si="41"/>
        <v>6.2374754014545011E-5</v>
      </c>
      <c r="S580" s="13">
        <f t="shared" si="42"/>
        <v>5.7946146479512316E-2</v>
      </c>
      <c r="U580" s="13">
        <f t="shared" si="43"/>
        <v>2.8068639306545254E-2</v>
      </c>
      <c r="V580" s="12"/>
      <c r="W580" s="13">
        <f t="shared" si="44"/>
        <v>2.813757660740937E-2</v>
      </c>
    </row>
    <row r="581" spans="15:23" x14ac:dyDescent="0.25">
      <c r="O581" s="1">
        <f t="shared" si="45"/>
        <v>928</v>
      </c>
      <c r="Q581" s="12">
        <f t="shared" si="41"/>
        <v>6.3235482463367706E-5</v>
      </c>
      <c r="S581" s="13">
        <f t="shared" si="42"/>
        <v>5.8682527726005233E-2</v>
      </c>
      <c r="U581" s="13">
        <f t="shared" si="43"/>
        <v>2.8455967108515466E-2</v>
      </c>
      <c r="V581" s="12"/>
      <c r="W581" s="13">
        <f t="shared" si="44"/>
        <v>2.8466302761786272E-2</v>
      </c>
    </row>
    <row r="582" spans="15:23" x14ac:dyDescent="0.25">
      <c r="O582" s="1">
        <f t="shared" si="45"/>
        <v>927</v>
      </c>
      <c r="Q582" s="12">
        <f t="shared" si="41"/>
        <v>6.4107539904107317E-5</v>
      </c>
      <c r="S582" s="13">
        <f t="shared" si="42"/>
        <v>5.942768949110748E-2</v>
      </c>
      <c r="U582" s="13">
        <f t="shared" si="43"/>
        <v>2.8848392956848292E-2</v>
      </c>
      <c r="V582" s="12"/>
      <c r="W582" s="13">
        <f t="shared" si="44"/>
        <v>2.8798496937921036E-2</v>
      </c>
    </row>
    <row r="583" spans="15:23" x14ac:dyDescent="0.25">
      <c r="O583" s="1">
        <f t="shared" si="45"/>
        <v>926</v>
      </c>
      <c r="Q583" s="12">
        <f t="shared" si="41"/>
        <v>6.4991064708619473E-5</v>
      </c>
      <c r="S583" s="13">
        <f t="shared" si="42"/>
        <v>6.0181725920181631E-2</v>
      </c>
      <c r="U583" s="13">
        <f t="shared" si="43"/>
        <v>2.9245979118878763E-2</v>
      </c>
      <c r="V583" s="12"/>
      <c r="W583" s="13">
        <f t="shared" si="44"/>
        <v>2.913418915740941E-2</v>
      </c>
    </row>
    <row r="584" spans="15:23" x14ac:dyDescent="0.25">
      <c r="O584" s="1">
        <f t="shared" si="45"/>
        <v>925</v>
      </c>
      <c r="Q584" s="12">
        <f t="shared" si="41"/>
        <v>6.5886196729841563E-5</v>
      </c>
      <c r="S584" s="13">
        <f t="shared" si="42"/>
        <v>6.0944731975103444E-2</v>
      </c>
      <c r="U584" s="13">
        <f t="shared" si="43"/>
        <v>2.9648788528428702E-2</v>
      </c>
      <c r="V584" s="12"/>
      <c r="W584" s="13">
        <f t="shared" si="44"/>
        <v>2.9473409583136666E-2</v>
      </c>
    </row>
    <row r="585" spans="15:23" x14ac:dyDescent="0.25">
      <c r="O585" s="1">
        <f t="shared" si="45"/>
        <v>924</v>
      </c>
      <c r="Q585" s="12">
        <f t="shared" si="41"/>
        <v>6.6793077313521019E-5</v>
      </c>
      <c r="S585" s="13">
        <f t="shared" si="42"/>
        <v>6.1716803437693424E-2</v>
      </c>
      <c r="U585" s="13">
        <f t="shared" si="43"/>
        <v>3.0056884791084457E-2</v>
      </c>
      <c r="V585" s="12"/>
      <c r="W585" s="13">
        <f t="shared" si="44"/>
        <v>2.9816188517538957E-2</v>
      </c>
    </row>
    <row r="586" spans="15:23" x14ac:dyDescent="0.25">
      <c r="O586" s="1">
        <f t="shared" si="45"/>
        <v>923</v>
      </c>
      <c r="Q586" s="12">
        <f t="shared" ref="Q586:Q649" si="46">_xlfn.LOGNORM.DIST(O586,$D$25,$D$26,FALSE)</f>
        <v>6.7711849309959522E-5</v>
      </c>
      <c r="S586" s="13">
        <f t="shared" ref="S586:S649" si="47">IF(O586&gt;$D$6,O586*Q586,0)</f>
        <v>6.2498036913092636E-2</v>
      </c>
      <c r="U586" s="13">
        <f t="shared" ref="U586:U649" si="48">IF(O586&gt;$D$6,$D$6*Q586,0)</f>
        <v>3.0470332189481784E-2</v>
      </c>
      <c r="V586" s="12"/>
      <c r="W586" s="13">
        <f t="shared" ref="W586:W649" si="49">(S586-U586)*EXP(-$D$9*$D$7)</f>
        <v>3.0162556400805417E-2</v>
      </c>
    </row>
    <row r="587" spans="15:23" x14ac:dyDescent="0.25">
      <c r="O587" s="1">
        <f t="shared" ref="O587:O650" si="50">O586-1</f>
        <v>922</v>
      </c>
      <c r="Q587" s="12">
        <f t="shared" si="46"/>
        <v>6.8642657085752953E-5</v>
      </c>
      <c r="S587" s="13">
        <f t="shared" si="47"/>
        <v>6.3288529833064225E-2</v>
      </c>
      <c r="U587" s="13">
        <f t="shared" si="48"/>
        <v>3.088919568858883E-2</v>
      </c>
      <c r="V587" s="12"/>
      <c r="W587" s="13">
        <f t="shared" si="49"/>
        <v>3.0512543809012093E-2</v>
      </c>
    </row>
    <row r="588" spans="15:23" x14ac:dyDescent="0.25">
      <c r="O588" s="1">
        <f t="shared" si="50"/>
        <v>921</v>
      </c>
      <c r="Q588" s="12">
        <f t="shared" si="46"/>
        <v>6.9585646535540456E-5</v>
      </c>
      <c r="S588" s="13">
        <f t="shared" si="47"/>
        <v>6.4088380459232763E-2</v>
      </c>
      <c r="U588" s="13">
        <f t="shared" si="48"/>
        <v>3.1313540940993208E-2</v>
      </c>
      <c r="V588" s="12"/>
      <c r="W588" s="13">
        <f t="shared" si="49"/>
        <v>3.0866181452193477E-2</v>
      </c>
    </row>
    <row r="589" spans="15:23" x14ac:dyDescent="0.25">
      <c r="O589" s="1">
        <f t="shared" si="50"/>
        <v>920</v>
      </c>
      <c r="Q589" s="12">
        <f t="shared" si="46"/>
        <v>7.0540965093745099E-5</v>
      </c>
      <c r="S589" s="13">
        <f t="shared" si="47"/>
        <v>6.4897687886245489E-2</v>
      </c>
      <c r="U589" s="13">
        <f t="shared" si="48"/>
        <v>3.1743434292185298E-2</v>
      </c>
      <c r="V589" s="12"/>
      <c r="W589" s="13">
        <f t="shared" si="49"/>
        <v>3.1223500172343998E-2</v>
      </c>
    </row>
    <row r="590" spans="15:23" x14ac:dyDescent="0.25">
      <c r="O590" s="1">
        <f t="shared" si="50"/>
        <v>919</v>
      </c>
      <c r="Q590" s="12">
        <f t="shared" si="46"/>
        <v>7.1508761746320122E-5</v>
      </c>
      <c r="S590" s="13">
        <f t="shared" si="47"/>
        <v>6.571655204486819E-2</v>
      </c>
      <c r="U590" s="13">
        <f t="shared" si="48"/>
        <v>3.2178942785844052E-2</v>
      </c>
      <c r="V590" s="12"/>
      <c r="W590" s="13">
        <f t="shared" si="49"/>
        <v>3.1584530941355646E-2</v>
      </c>
    </row>
    <row r="591" spans="15:23" x14ac:dyDescent="0.25">
      <c r="O591" s="1">
        <f t="shared" si="50"/>
        <v>918</v>
      </c>
      <c r="Q591" s="12">
        <f t="shared" si="46"/>
        <v>7.2489187042479653E-5</v>
      </c>
      <c r="S591" s="13">
        <f t="shared" si="47"/>
        <v>6.6545073704996321E-2</v>
      </c>
      <c r="U591" s="13">
        <f t="shared" si="48"/>
        <v>3.2620134169115841E-2</v>
      </c>
      <c r="V591" s="12"/>
      <c r="W591" s="13">
        <f t="shared" si="49"/>
        <v>3.1949304858882317E-2</v>
      </c>
    </row>
    <row r="592" spans="15:23" x14ac:dyDescent="0.25">
      <c r="O592" s="1">
        <f t="shared" si="50"/>
        <v>917</v>
      </c>
      <c r="Q592" s="12">
        <f t="shared" si="46"/>
        <v>7.3482393106431872E-5</v>
      </c>
      <c r="S592" s="13">
        <f t="shared" si="47"/>
        <v>6.7383354478598029E-2</v>
      </c>
      <c r="U592" s="13">
        <f t="shared" si="48"/>
        <v>3.3067076897894343E-2</v>
      </c>
      <c r="V592" s="12"/>
      <c r="W592" s="13">
        <f t="shared" si="49"/>
        <v>3.231785315013902E-2</v>
      </c>
    </row>
    <row r="593" spans="15:23" x14ac:dyDescent="0.25">
      <c r="O593" s="1">
        <f t="shared" si="50"/>
        <v>916</v>
      </c>
      <c r="Q593" s="12">
        <f t="shared" si="46"/>
        <v>7.4488533649090516E-5</v>
      </c>
      <c r="S593" s="13">
        <f t="shared" si="47"/>
        <v>6.8231496822566906E-2</v>
      </c>
      <c r="U593" s="13">
        <f t="shared" si="48"/>
        <v>3.351984014209073E-2</v>
      </c>
      <c r="V593" s="12"/>
      <c r="W593" s="13">
        <f t="shared" si="49"/>
        <v>3.2690207163625216E-2</v>
      </c>
    </row>
    <row r="594" spans="15:23" x14ac:dyDescent="0.25">
      <c r="O594" s="1">
        <f t="shared" si="50"/>
        <v>915</v>
      </c>
      <c r="Q594" s="12">
        <f t="shared" si="46"/>
        <v>7.5507763979781097E-5</v>
      </c>
      <c r="S594" s="13">
        <f t="shared" si="47"/>
        <v>6.9089604041499705E-2</v>
      </c>
      <c r="U594" s="13">
        <f t="shared" si="48"/>
        <v>3.3978493790901496E-2</v>
      </c>
      <c r="V594" s="12"/>
      <c r="W594" s="13">
        <f t="shared" si="49"/>
        <v>3.3066398368779761E-2</v>
      </c>
    </row>
    <row r="595" spans="15:23" x14ac:dyDescent="0.25">
      <c r="O595" s="1">
        <f t="shared" si="50"/>
        <v>914</v>
      </c>
      <c r="Q595" s="12">
        <f t="shared" si="46"/>
        <v>7.654024101792595E-5</v>
      </c>
      <c r="S595" s="13">
        <f t="shared" si="47"/>
        <v>6.9957780290384325E-2</v>
      </c>
      <c r="U595" s="13">
        <f t="shared" si="48"/>
        <v>3.4443108458066675E-2</v>
      </c>
      <c r="V595" s="12"/>
      <c r="W595" s="13">
        <f t="shared" si="49"/>
        <v>3.3446458353560291E-2</v>
      </c>
    </row>
    <row r="596" spans="15:23" x14ac:dyDescent="0.25">
      <c r="O596" s="1">
        <f t="shared" si="50"/>
        <v>913</v>
      </c>
      <c r="Q596" s="12">
        <f t="shared" si="46"/>
        <v>7.7586123304710638E-5</v>
      </c>
      <c r="S596" s="13">
        <f t="shared" si="47"/>
        <v>7.0836130577200812E-2</v>
      </c>
      <c r="U596" s="13">
        <f t="shared" si="48"/>
        <v>3.4913755487119787E-2</v>
      </c>
      <c r="V596" s="12"/>
      <c r="W596" s="13">
        <f t="shared" si="49"/>
        <v>3.3830418821948594E-2</v>
      </c>
    </row>
    <row r="597" spans="15:23" x14ac:dyDescent="0.25">
      <c r="O597" s="1">
        <f t="shared" si="50"/>
        <v>912</v>
      </c>
      <c r="Q597" s="12">
        <f t="shared" si="46"/>
        <v>7.8645571014728885E-5</v>
      </c>
      <c r="S597" s="13">
        <f t="shared" si="47"/>
        <v>7.1724760765432743E-2</v>
      </c>
      <c r="U597" s="13">
        <f t="shared" si="48"/>
        <v>3.5390506956628001E-2</v>
      </c>
      <c r="V597" s="12"/>
      <c r="W597" s="13">
        <f t="shared" si="49"/>
        <v>3.421831159138071E-2</v>
      </c>
    </row>
    <row r="598" spans="15:23" x14ac:dyDescent="0.25">
      <c r="O598" s="1">
        <f t="shared" si="50"/>
        <v>911</v>
      </c>
      <c r="Q598" s="12">
        <f t="shared" si="46"/>
        <v>7.9718745967600677E-5</v>
      </c>
      <c r="S598" s="13">
        <f t="shared" si="47"/>
        <v>7.2623777576484222E-2</v>
      </c>
      <c r="U598" s="13">
        <f t="shared" si="48"/>
        <v>3.5873435685420306E-2</v>
      </c>
      <c r="V598" s="12"/>
      <c r="W598" s="13">
        <f t="shared" si="49"/>
        <v>3.4610168590099487E-2</v>
      </c>
    </row>
    <row r="599" spans="15:23" x14ac:dyDescent="0.25">
      <c r="O599" s="1">
        <f t="shared" si="50"/>
        <v>910</v>
      </c>
      <c r="Q599" s="12">
        <f t="shared" si="46"/>
        <v>8.0805811639564432E-5</v>
      </c>
      <c r="S599" s="13">
        <f t="shared" si="47"/>
        <v>7.3533288592003629E-2</v>
      </c>
      <c r="U599" s="13">
        <f t="shared" si="48"/>
        <v>3.6362615237803993E-2</v>
      </c>
      <c r="V599" s="12"/>
      <c r="W599" s="13">
        <f t="shared" si="49"/>
        <v>3.5006021854430282E-2</v>
      </c>
    </row>
    <row r="600" spans="15:23" x14ac:dyDescent="0.25">
      <c r="O600" s="1">
        <f t="shared" si="50"/>
        <v>909</v>
      </c>
      <c r="Q600" s="12">
        <f t="shared" si="46"/>
        <v>8.1906933175032728E-5</v>
      </c>
      <c r="S600" s="13">
        <f t="shared" si="47"/>
        <v>7.445340225610475E-2</v>
      </c>
      <c r="U600" s="13">
        <f t="shared" si="48"/>
        <v>3.6858119928764727E-2</v>
      </c>
      <c r="V600" s="12"/>
      <c r="W600" s="13">
        <f t="shared" si="49"/>
        <v>3.5405903525975529E-2</v>
      </c>
    </row>
    <row r="601" spans="15:23" x14ac:dyDescent="0.25">
      <c r="O601" s="1">
        <f t="shared" si="50"/>
        <v>908</v>
      </c>
      <c r="Q601" s="12">
        <f t="shared" si="46"/>
        <v>8.3022277398118452E-5</v>
      </c>
      <c r="S601" s="13">
        <f t="shared" si="47"/>
        <v>7.538422787749155E-2</v>
      </c>
      <c r="U601" s="13">
        <f t="shared" si="48"/>
        <v>3.73600248291533E-2</v>
      </c>
      <c r="V601" s="12"/>
      <c r="W601" s="13">
        <f t="shared" si="49"/>
        <v>3.5809845848731037E-2</v>
      </c>
    </row>
    <row r="602" spans="15:23" x14ac:dyDescent="0.25">
      <c r="O602" s="1">
        <f t="shared" si="50"/>
        <v>907</v>
      </c>
      <c r="Q602" s="12">
        <f t="shared" si="46"/>
        <v>8.4152012824120268E-5</v>
      </c>
      <c r="S602" s="13">
        <f t="shared" si="47"/>
        <v>7.632587563147708E-2</v>
      </c>
      <c r="U602" s="13">
        <f t="shared" si="48"/>
        <v>3.7868405770854117E-2</v>
      </c>
      <c r="V602" s="12"/>
      <c r="W602" s="13">
        <f t="shared" si="49"/>
        <v>3.6217881166119889E-2</v>
      </c>
    </row>
    <row r="603" spans="15:23" x14ac:dyDescent="0.25">
      <c r="O603" s="1">
        <f t="shared" si="50"/>
        <v>906</v>
      </c>
      <c r="Q603" s="12">
        <f t="shared" si="46"/>
        <v>8.5296309670961323E-5</v>
      </c>
      <c r="S603" s="13">
        <f t="shared" si="47"/>
        <v>7.727845656189096E-2</v>
      </c>
      <c r="U603" s="13">
        <f t="shared" si="48"/>
        <v>3.8383339351932597E-2</v>
      </c>
      <c r="V603" s="12"/>
      <c r="W603" s="13">
        <f t="shared" si="49"/>
        <v>3.6630041917941121E-2</v>
      </c>
    </row>
    <row r="604" spans="15:23" x14ac:dyDescent="0.25">
      <c r="O604" s="1">
        <f t="shared" si="50"/>
        <v>905</v>
      </c>
      <c r="Q604" s="12">
        <f t="shared" si="46"/>
        <v>8.6455339870597579E-5</v>
      </c>
      <c r="S604" s="13">
        <f t="shared" si="47"/>
        <v>7.824208258289081E-2</v>
      </c>
      <c r="U604" s="13">
        <f t="shared" si="48"/>
        <v>3.8904902941768911E-2</v>
      </c>
      <c r="V604" s="12"/>
      <c r="W604" s="13">
        <f t="shared" si="49"/>
        <v>3.7046360637240969E-2</v>
      </c>
    </row>
    <row r="605" spans="15:23" x14ac:dyDescent="0.25">
      <c r="O605" s="1">
        <f t="shared" si="50"/>
        <v>904</v>
      </c>
      <c r="Q605" s="12">
        <f t="shared" si="46"/>
        <v>8.7629277080356662E-5</v>
      </c>
      <c r="S605" s="13">
        <f t="shared" si="47"/>
        <v>7.9216866480642426E-2</v>
      </c>
      <c r="U605" s="13">
        <f t="shared" si="48"/>
        <v>3.9433174686160498E-2</v>
      </c>
      <c r="V605" s="12"/>
      <c r="W605" s="13">
        <f t="shared" si="49"/>
        <v>3.7466869947089775E-2</v>
      </c>
    </row>
    <row r="606" spans="15:23" x14ac:dyDescent="0.25">
      <c r="O606" s="1">
        <f t="shared" si="50"/>
        <v>903</v>
      </c>
      <c r="Q606" s="12">
        <f t="shared" si="46"/>
        <v>8.8818296694242961E-5</v>
      </c>
      <c r="S606" s="13">
        <f t="shared" si="47"/>
        <v>8.0202921914901387E-2</v>
      </c>
      <c r="U606" s="13">
        <f t="shared" si="48"/>
        <v>3.9968233512409329E-2</v>
      </c>
      <c r="V606" s="12"/>
      <c r="W606" s="13">
        <f t="shared" si="49"/>
        <v>3.7891602557280517E-2</v>
      </c>
    </row>
    <row r="607" spans="15:23" x14ac:dyDescent="0.25">
      <c r="O607" s="1">
        <f t="shared" si="50"/>
        <v>902</v>
      </c>
      <c r="Q607" s="12">
        <f t="shared" si="46"/>
        <v>9.0022575854176843E-5</v>
      </c>
      <c r="S607" s="13">
        <f t="shared" si="47"/>
        <v>8.1200363420467506E-2</v>
      </c>
      <c r="U607" s="13">
        <f t="shared" si="48"/>
        <v>4.0510159134379581E-2</v>
      </c>
      <c r="V607" s="12"/>
      <c r="W607" s="13">
        <f t="shared" si="49"/>
        <v>3.8320591260935392E-2</v>
      </c>
    </row>
    <row r="608" spans="15:23" x14ac:dyDescent="0.25">
      <c r="O608" s="1">
        <f t="shared" si="50"/>
        <v>901</v>
      </c>
      <c r="Q608" s="12">
        <f t="shared" si="46"/>
        <v>9.1242293461176656E-5</v>
      </c>
      <c r="S608" s="13">
        <f t="shared" si="47"/>
        <v>8.2209306408520172E-2</v>
      </c>
      <c r="U608" s="13">
        <f t="shared" si="48"/>
        <v>4.1059032057529497E-2</v>
      </c>
      <c r="V608" s="12"/>
      <c r="W608" s="13">
        <f t="shared" si="49"/>
        <v>3.8753868931024608E-2</v>
      </c>
    </row>
    <row r="609" spans="15:23" x14ac:dyDescent="0.25">
      <c r="O609" s="1">
        <f t="shared" si="50"/>
        <v>900</v>
      </c>
      <c r="Q609" s="12">
        <f t="shared" si="46"/>
        <v>9.2477630186473266E-5</v>
      </c>
      <c r="S609" s="13">
        <f t="shared" si="47"/>
        <v>8.3229867167825933E-2</v>
      </c>
      <c r="U609" s="13">
        <f t="shared" si="48"/>
        <v>4.1614933583912966E-2</v>
      </c>
      <c r="V609" s="12"/>
      <c r="W609" s="13">
        <f t="shared" si="49"/>
        <v>3.9191468516793282E-2</v>
      </c>
    </row>
    <row r="610" spans="15:23" x14ac:dyDescent="0.25">
      <c r="O610" s="1">
        <f t="shared" si="50"/>
        <v>899</v>
      </c>
      <c r="Q610" s="12">
        <f t="shared" si="46"/>
        <v>9.3728768482567195E-5</v>
      </c>
      <c r="S610" s="13">
        <f t="shared" si="47"/>
        <v>8.4262162865827911E-2</v>
      </c>
      <c r="U610" s="13">
        <f t="shared" si="48"/>
        <v>4.2177945817155241E-2</v>
      </c>
      <c r="V610" s="12"/>
      <c r="W610" s="13">
        <f t="shared" si="49"/>
        <v>3.9633423040101506E-2</v>
      </c>
    </row>
    <row r="611" spans="15:23" x14ac:dyDescent="0.25">
      <c r="O611" s="1">
        <f t="shared" si="50"/>
        <v>898</v>
      </c>
      <c r="Q611" s="12">
        <f t="shared" si="46"/>
        <v>9.4995892594199055E-5</v>
      </c>
      <c r="S611" s="13">
        <f t="shared" si="47"/>
        <v>8.5306311549590758E-2</v>
      </c>
      <c r="U611" s="13">
        <f t="shared" si="48"/>
        <v>4.2748151667389572E-2</v>
      </c>
      <c r="V611" s="12"/>
      <c r="W611" s="13">
        <f t="shared" si="49"/>
        <v>4.0079765591665081E-2</v>
      </c>
    </row>
    <row r="612" spans="15:23" x14ac:dyDescent="0.25">
      <c r="O612" s="1">
        <f t="shared" si="50"/>
        <v>897</v>
      </c>
      <c r="Q612" s="12">
        <f t="shared" si="46"/>
        <v>9.6279188569260824E-5</v>
      </c>
      <c r="S612" s="13">
        <f t="shared" si="47"/>
        <v>8.6362432146626963E-2</v>
      </c>
      <c r="U612" s="13">
        <f t="shared" si="48"/>
        <v>4.3325634856167368E-2</v>
      </c>
      <c r="V612" s="12"/>
      <c r="W612" s="13">
        <f t="shared" si="49"/>
        <v>4.053052932720954E-2</v>
      </c>
    </row>
    <row r="613" spans="15:23" x14ac:dyDescent="0.25">
      <c r="O613" s="1">
        <f t="shared" si="50"/>
        <v>896</v>
      </c>
      <c r="Q613" s="12">
        <f t="shared" si="46"/>
        <v>9.7578844269610609E-5</v>
      </c>
      <c r="S613" s="13">
        <f t="shared" si="47"/>
        <v>8.7430644465571111E-2</v>
      </c>
      <c r="U613" s="13">
        <f t="shared" si="48"/>
        <v>4.3910479921324776E-2</v>
      </c>
      <c r="V613" s="12"/>
      <c r="W613" s="13">
        <f t="shared" si="49"/>
        <v>4.0985747463521911E-2</v>
      </c>
    </row>
    <row r="614" spans="15:23" x14ac:dyDescent="0.25">
      <c r="O614" s="1">
        <f t="shared" si="50"/>
        <v>895</v>
      </c>
      <c r="Q614" s="12">
        <f t="shared" si="46"/>
        <v>9.8895049381815417E-5</v>
      </c>
      <c r="S614" s="13">
        <f t="shared" si="47"/>
        <v>8.8511069196724801E-2</v>
      </c>
      <c r="U614" s="13">
        <f t="shared" si="48"/>
        <v>4.4502772221816936E-2</v>
      </c>
      <c r="V614" s="12"/>
      <c r="W614" s="13">
        <f t="shared" si="49"/>
        <v>4.1445453274411209E-2</v>
      </c>
    </row>
    <row r="615" spans="15:23" x14ac:dyDescent="0.25">
      <c r="O615" s="1">
        <f t="shared" si="50"/>
        <v>894</v>
      </c>
      <c r="Q615" s="12">
        <f t="shared" si="46"/>
        <v>1.0022799542780106E-4</v>
      </c>
      <c r="S615" s="13">
        <f t="shared" si="47"/>
        <v>8.9603827912454151E-2</v>
      </c>
      <c r="U615" s="13">
        <f t="shared" si="48"/>
        <v>4.5102597942510481E-2</v>
      </c>
      <c r="V615" s="12"/>
      <c r="W615" s="13">
        <f t="shared" si="49"/>
        <v>4.1909680086569388E-2</v>
      </c>
    </row>
    <row r="616" spans="15:23" x14ac:dyDescent="0.25">
      <c r="O616" s="1">
        <f t="shared" si="50"/>
        <v>893</v>
      </c>
      <c r="Q616" s="12">
        <f t="shared" si="46"/>
        <v>1.0157787577540479E-4</v>
      </c>
      <c r="S616" s="13">
        <f t="shared" si="47"/>
        <v>9.0709043067436476E-2</v>
      </c>
      <c r="U616" s="13">
        <f t="shared" si="48"/>
        <v>4.5710044098932152E-2</v>
      </c>
      <c r="V616" s="12"/>
      <c r="W616" s="13">
        <f t="shared" si="49"/>
        <v>4.2378461275331562E-2</v>
      </c>
    </row>
    <row r="617" spans="15:23" x14ac:dyDescent="0.25">
      <c r="O617" s="1">
        <f t="shared" si="50"/>
        <v>892</v>
      </c>
      <c r="Q617" s="12">
        <f t="shared" si="46"/>
        <v>1.0294488564883692E-4</v>
      </c>
      <c r="S617" s="13">
        <f t="shared" si="47"/>
        <v>9.1826837998762539E-2</v>
      </c>
      <c r="U617" s="13">
        <f t="shared" si="48"/>
        <v>4.6325198541976614E-2</v>
      </c>
      <c r="V617" s="12"/>
      <c r="W617" s="13">
        <f t="shared" si="49"/>
        <v>4.2851830260338647E-2</v>
      </c>
    </row>
    <row r="618" spans="15:23" x14ac:dyDescent="0.25">
      <c r="O618" s="1">
        <f t="shared" si="50"/>
        <v>891</v>
      </c>
      <c r="Q618" s="12">
        <f t="shared" si="46"/>
        <v>1.0432922213903881E-4</v>
      </c>
      <c r="S618" s="13">
        <f t="shared" si="47"/>
        <v>9.295733692588358E-2</v>
      </c>
      <c r="U618" s="13">
        <f t="shared" si="48"/>
        <v>4.6948149962567465E-2</v>
      </c>
      <c r="V618" s="12"/>
      <c r="W618" s="13">
        <f t="shared" si="49"/>
        <v>4.3329820501097897E-2</v>
      </c>
    </row>
    <row r="619" spans="15:23" x14ac:dyDescent="0.25">
      <c r="O619" s="1">
        <f t="shared" si="50"/>
        <v>890</v>
      </c>
      <c r="Q619" s="12">
        <f t="shared" si="46"/>
        <v>1.0573108421392278E-4</v>
      </c>
      <c r="S619" s="13">
        <f t="shared" si="47"/>
        <v>9.4100664950391266E-2</v>
      </c>
      <c r="U619" s="13">
        <f t="shared" si="48"/>
        <v>4.7578987896265253E-2</v>
      </c>
      <c r="V619" s="12"/>
      <c r="W619" s="13">
        <f t="shared" si="49"/>
        <v>4.3812465492436031E-2</v>
      </c>
    </row>
    <row r="620" spans="15:23" x14ac:dyDescent="0.25">
      <c r="O620" s="1">
        <f t="shared" si="50"/>
        <v>889</v>
      </c>
      <c r="Q620" s="12">
        <f t="shared" si="46"/>
        <v>1.071506727285205E-4</v>
      </c>
      <c r="S620" s="13">
        <f t="shared" si="47"/>
        <v>9.5256948055654725E-2</v>
      </c>
      <c r="U620" s="13">
        <f t="shared" si="48"/>
        <v>4.8217802727834227E-2</v>
      </c>
      <c r="V620" s="12"/>
      <c r="W620" s="13">
        <f t="shared" si="49"/>
        <v>4.4299798759856561E-2</v>
      </c>
    </row>
    <row r="621" spans="15:23" x14ac:dyDescent="0.25">
      <c r="O621" s="1">
        <f t="shared" si="50"/>
        <v>888</v>
      </c>
      <c r="Q621" s="12">
        <f t="shared" si="46"/>
        <v>1.0858819043499337E-4</v>
      </c>
      <c r="S621" s="13">
        <f t="shared" si="47"/>
        <v>9.6426313106274114E-2</v>
      </c>
      <c r="U621" s="13">
        <f t="shared" si="48"/>
        <v>4.886468569574702E-2</v>
      </c>
      <c r="V621" s="12"/>
      <c r="W621" s="13">
        <f t="shared" si="49"/>
        <v>4.4791853854782869E-2</v>
      </c>
    </row>
    <row r="622" spans="15:23" x14ac:dyDescent="0.25">
      <c r="O622" s="1">
        <f t="shared" si="50"/>
        <v>887</v>
      </c>
      <c r="Q622" s="12">
        <f t="shared" si="46"/>
        <v>1.1004384199253475E-4</v>
      </c>
      <c r="S622" s="13">
        <f t="shared" si="47"/>
        <v>9.7608887847378326E-2</v>
      </c>
      <c r="U622" s="13">
        <f t="shared" si="48"/>
        <v>4.9519728896640636E-2</v>
      </c>
      <c r="V622" s="12"/>
      <c r="W622" s="13">
        <f t="shared" si="49"/>
        <v>4.5288664349700282E-2</v>
      </c>
    </row>
    <row r="623" spans="15:23" x14ac:dyDescent="0.25">
      <c r="O623" s="1">
        <f t="shared" si="50"/>
        <v>886</v>
      </c>
      <c r="Q623" s="12">
        <f t="shared" si="46"/>
        <v>1.1151783397713656E-4</v>
      </c>
      <c r="S623" s="13">
        <f t="shared" si="47"/>
        <v>9.8804800903742995E-2</v>
      </c>
      <c r="U623" s="13">
        <f t="shared" si="48"/>
        <v>5.0183025289711448E-2</v>
      </c>
      <c r="V623" s="12"/>
      <c r="W623" s="13">
        <f t="shared" si="49"/>
        <v>4.579026383318642E-2</v>
      </c>
    </row>
    <row r="624" spans="15:23" x14ac:dyDescent="0.25">
      <c r="O624" s="1">
        <f t="shared" si="50"/>
        <v>885</v>
      </c>
      <c r="Q624" s="12">
        <f t="shared" si="46"/>
        <v>1.1301037489123214E-4</v>
      </c>
      <c r="S624" s="13">
        <f t="shared" si="47"/>
        <v>0.10001418177874044</v>
      </c>
      <c r="U624" s="13">
        <f t="shared" si="48"/>
        <v>5.0854668701054463E-2</v>
      </c>
      <c r="V624" s="12"/>
      <c r="W624" s="13">
        <f t="shared" si="49"/>
        <v>4.629668590483571E-2</v>
      </c>
    </row>
    <row r="625" spans="15:23" x14ac:dyDescent="0.25">
      <c r="O625" s="1">
        <f t="shared" si="50"/>
        <v>884</v>
      </c>
      <c r="Q625" s="12">
        <f t="shared" si="46"/>
        <v>1.1452167517318901E-4</v>
      </c>
      <c r="S625" s="13">
        <f t="shared" si="47"/>
        <v>0.10123716085309908</v>
      </c>
      <c r="U625" s="13">
        <f t="shared" si="48"/>
        <v>5.1534753827935056E-2</v>
      </c>
      <c r="V625" s="12"/>
      <c r="W625" s="13">
        <f t="shared" si="49"/>
        <v>4.6807964170068085E-2</v>
      </c>
    </row>
    <row r="626" spans="15:23" x14ac:dyDescent="0.25">
      <c r="O626" s="1">
        <f t="shared" si="50"/>
        <v>883</v>
      </c>
      <c r="Q626" s="12">
        <f t="shared" si="46"/>
        <v>1.1605194720667264E-4</v>
      </c>
      <c r="S626" s="13">
        <f t="shared" si="47"/>
        <v>0.10247386938349194</v>
      </c>
      <c r="U626" s="13">
        <f t="shared" si="48"/>
        <v>5.2223376243002689E-2</v>
      </c>
      <c r="V626" s="12"/>
      <c r="W626" s="13">
        <f t="shared" si="49"/>
        <v>4.7324132234831354E-2</v>
      </c>
    </row>
    <row r="627" spans="15:23" x14ac:dyDescent="0.25">
      <c r="O627" s="1">
        <f t="shared" si="50"/>
        <v>882</v>
      </c>
      <c r="Q627" s="12">
        <f t="shared" si="46"/>
        <v>1.1760140532984677E-4</v>
      </c>
      <c r="S627" s="13">
        <f t="shared" si="47"/>
        <v>0.10372443950092484</v>
      </c>
      <c r="U627" s="13">
        <f t="shared" si="48"/>
        <v>5.2920632398431047E-2</v>
      </c>
      <c r="V627" s="12"/>
      <c r="W627" s="13">
        <f t="shared" si="49"/>
        <v>4.7845223700184215E-2</v>
      </c>
    </row>
    <row r="628" spans="15:23" x14ac:dyDescent="0.25">
      <c r="O628" s="1">
        <f t="shared" si="50"/>
        <v>881</v>
      </c>
      <c r="Q628" s="12">
        <f t="shared" si="46"/>
        <v>1.1917026584443255E-4</v>
      </c>
      <c r="S628" s="13">
        <f t="shared" si="47"/>
        <v>0.10498900420894508</v>
      </c>
      <c r="U628" s="13">
        <f t="shared" si="48"/>
        <v>5.3626619629994647E-2</v>
      </c>
      <c r="V628" s="12"/>
      <c r="W628" s="13">
        <f t="shared" si="49"/>
        <v>4.8371272156770062E-2</v>
      </c>
    </row>
    <row r="629" spans="15:23" x14ac:dyDescent="0.25">
      <c r="O629" s="1">
        <f t="shared" si="50"/>
        <v>880</v>
      </c>
      <c r="Q629" s="12">
        <f t="shared" si="46"/>
        <v>1.2075874702459822E-4</v>
      </c>
      <c r="S629" s="13">
        <f t="shared" si="47"/>
        <v>0.10626769738164643</v>
      </c>
      <c r="U629" s="13">
        <f t="shared" si="48"/>
        <v>5.43414361610692E-2</v>
      </c>
      <c r="V629" s="12"/>
      <c r="W629" s="13">
        <f t="shared" si="49"/>
        <v>4.8902311179170779E-2</v>
      </c>
    </row>
    <row r="630" spans="15:23" x14ac:dyDescent="0.25">
      <c r="O630" s="1">
        <f t="shared" si="50"/>
        <v>879</v>
      </c>
      <c r="Q630" s="12">
        <f t="shared" si="46"/>
        <v>1.2236706912568298E-4</v>
      </c>
      <c r="S630" s="13">
        <f t="shared" si="47"/>
        <v>0.10756065376147533</v>
      </c>
      <c r="U630" s="13">
        <f t="shared" si="48"/>
        <v>5.5065181106557337E-2</v>
      </c>
      <c r="V630" s="12"/>
      <c r="W630" s="13">
        <f t="shared" si="49"/>
        <v>4.943837432014353E-2</v>
      </c>
    </row>
    <row r="631" spans="15:23" x14ac:dyDescent="0.25">
      <c r="O631" s="1">
        <f t="shared" si="50"/>
        <v>878</v>
      </c>
      <c r="Q631" s="12">
        <f t="shared" si="46"/>
        <v>1.2399545439275574E-4</v>
      </c>
      <c r="S631" s="13">
        <f t="shared" si="47"/>
        <v>0.10886800895683954</v>
      </c>
      <c r="U631" s="13">
        <f t="shared" si="48"/>
        <v>5.5797954476740082E-2</v>
      </c>
      <c r="V631" s="12"/>
      <c r="W631" s="13">
        <f t="shared" si="49"/>
        <v>4.9979495104741534E-2</v>
      </c>
    </row>
    <row r="632" spans="15:23" x14ac:dyDescent="0.25">
      <c r="O632" s="1">
        <f t="shared" si="50"/>
        <v>877</v>
      </c>
      <c r="Q632" s="12">
        <f t="shared" si="46"/>
        <v>1.2564412706899151E-4</v>
      </c>
      <c r="S632" s="13">
        <f t="shared" si="47"/>
        <v>0.11018989943950555</v>
      </c>
      <c r="U632" s="13">
        <f t="shared" si="48"/>
        <v>5.6539857181046177E-2</v>
      </c>
      <c r="V632" s="12"/>
      <c r="W632" s="13">
        <f t="shared" si="49"/>
        <v>5.0525707024313228E-2</v>
      </c>
    </row>
    <row r="633" spans="15:23" x14ac:dyDescent="0.25">
      <c r="O633" s="1">
        <f t="shared" si="50"/>
        <v>876</v>
      </c>
      <c r="Q633" s="12">
        <f t="shared" si="46"/>
        <v>1.2731331340385513E-4</v>
      </c>
      <c r="S633" s="13">
        <f t="shared" si="47"/>
        <v>0.1115264625417771</v>
      </c>
      <c r="U633" s="13">
        <f t="shared" si="48"/>
        <v>5.7290991031734809E-2</v>
      </c>
      <c r="V633" s="12"/>
      <c r="W633" s="13">
        <f t="shared" si="49"/>
        <v>5.1077043530376787E-2</v>
      </c>
    </row>
    <row r="634" spans="15:23" x14ac:dyDescent="0.25">
      <c r="O634" s="1">
        <f t="shared" si="50"/>
        <v>875</v>
      </c>
      <c r="Q634" s="12">
        <f t="shared" si="46"/>
        <v>1.2900324166111363E-4</v>
      </c>
      <c r="S634" s="13">
        <f t="shared" si="47"/>
        <v>0.11287783645347442</v>
      </c>
      <c r="U634" s="13">
        <f t="shared" si="48"/>
        <v>5.8051458747501131E-2</v>
      </c>
      <c r="V634" s="12"/>
      <c r="W634" s="13">
        <f t="shared" si="49"/>
        <v>5.1633538028379784E-2</v>
      </c>
    </row>
    <row r="635" spans="15:23" x14ac:dyDescent="0.25">
      <c r="O635" s="1">
        <f t="shared" si="50"/>
        <v>874</v>
      </c>
      <c r="Q635" s="12">
        <f t="shared" si="46"/>
        <v>1.307141421266261E-4</v>
      </c>
      <c r="S635" s="13">
        <f t="shared" si="47"/>
        <v>0.1142441602186712</v>
      </c>
      <c r="U635" s="13">
        <f t="shared" si="48"/>
        <v>5.8821363956981745E-2</v>
      </c>
      <c r="V635" s="12"/>
      <c r="W635" s="13">
        <f t="shared" si="49"/>
        <v>5.2195223871324817E-2</v>
      </c>
    </row>
    <row r="636" spans="15:23" x14ac:dyDescent="0.25">
      <c r="O636" s="1">
        <f t="shared" si="50"/>
        <v>873</v>
      </c>
      <c r="Q636" s="12">
        <f t="shared" si="46"/>
        <v>1.3244624711595724E-4</v>
      </c>
      <c r="S636" s="13">
        <f t="shared" si="47"/>
        <v>0.11562557373223067</v>
      </c>
      <c r="U636" s="13">
        <f t="shared" si="48"/>
        <v>5.9600811202180755E-2</v>
      </c>
      <c r="V636" s="12"/>
      <c r="W636" s="13">
        <f t="shared" si="49"/>
        <v>5.2762134353280754E-2</v>
      </c>
    </row>
    <row r="637" spans="15:23" x14ac:dyDescent="0.25">
      <c r="O637" s="1">
        <f t="shared" si="50"/>
        <v>872</v>
      </c>
      <c r="Q637" s="12">
        <f t="shared" si="46"/>
        <v>1.3419979098175567E-4</v>
      </c>
      <c r="S637" s="13">
        <f t="shared" si="47"/>
        <v>0.11702221773609095</v>
      </c>
      <c r="U637" s="13">
        <f t="shared" si="48"/>
        <v>6.0389905941790056E-2</v>
      </c>
      <c r="V637" s="12"/>
      <c r="W637" s="13">
        <f t="shared" si="49"/>
        <v>5.3334302702757526E-2</v>
      </c>
    </row>
    <row r="638" spans="15:23" x14ac:dyDescent="0.25">
      <c r="O638" s="1">
        <f t="shared" si="50"/>
        <v>871</v>
      </c>
      <c r="Q638" s="12">
        <f t="shared" si="46"/>
        <v>1.3597501012093229E-4</v>
      </c>
      <c r="S638" s="13">
        <f t="shared" si="47"/>
        <v>0.11843423381533202</v>
      </c>
      <c r="U638" s="13">
        <f t="shared" si="48"/>
        <v>6.1188754554419529E-2</v>
      </c>
      <c r="V638" s="12"/>
      <c r="W638" s="13">
        <f t="shared" si="49"/>
        <v>5.3911762075960039E-2</v>
      </c>
    </row>
    <row r="639" spans="15:23" x14ac:dyDescent="0.25">
      <c r="O639" s="1">
        <f t="shared" si="50"/>
        <v>870</v>
      </c>
      <c r="Q639" s="12">
        <f t="shared" si="46"/>
        <v>1.3777214298160508E-4</v>
      </c>
      <c r="S639" s="13">
        <f t="shared" si="47"/>
        <v>0.11986176439399641</v>
      </c>
      <c r="U639" s="13">
        <f t="shared" si="48"/>
        <v>6.1997464341722285E-2</v>
      </c>
      <c r="V639" s="12"/>
      <c r="W639" s="13">
        <f t="shared" si="49"/>
        <v>5.4494545549908964E-2</v>
      </c>
    </row>
    <row r="640" spans="15:23" x14ac:dyDescent="0.25">
      <c r="O640" s="1">
        <f t="shared" si="50"/>
        <v>869</v>
      </c>
      <c r="Q640" s="12">
        <f t="shared" si="46"/>
        <v>1.3959143006981827E-4</v>
      </c>
      <c r="S640" s="13">
        <f t="shared" si="47"/>
        <v>0.12130495273067207</v>
      </c>
      <c r="U640" s="13">
        <f t="shared" si="48"/>
        <v>6.281614353141822E-2</v>
      </c>
      <c r="V640" s="12"/>
      <c r="W640" s="13">
        <f t="shared" si="49"/>
        <v>5.5082686115433419E-2</v>
      </c>
    </row>
    <row r="641" spans="15:23" x14ac:dyDescent="0.25">
      <c r="O641" s="1">
        <f t="shared" si="50"/>
        <v>868</v>
      </c>
      <c r="Q641" s="12">
        <f t="shared" si="46"/>
        <v>1.4143311395601907E-4</v>
      </c>
      <c r="S641" s="13">
        <f t="shared" si="47"/>
        <v>0.12276394291382456</v>
      </c>
      <c r="U641" s="13">
        <f t="shared" si="48"/>
        <v>6.3644901280208582E-2</v>
      </c>
      <c r="V641" s="12"/>
      <c r="W641" s="13">
        <f t="shared" si="49"/>
        <v>5.5676216670030129E-2</v>
      </c>
    </row>
    <row r="642" spans="15:23" x14ac:dyDescent="0.25">
      <c r="O642" s="1">
        <f t="shared" si="50"/>
        <v>867</v>
      </c>
      <c r="Q642" s="12">
        <f t="shared" si="46"/>
        <v>1.432974392812936E-4</v>
      </c>
      <c r="S642" s="13">
        <f t="shared" si="47"/>
        <v>0.12423887985688155</v>
      </c>
      <c r="U642" s="13">
        <f t="shared" si="48"/>
        <v>6.4483847676582121E-2</v>
      </c>
      <c r="V642" s="12"/>
      <c r="W642" s="13">
        <f t="shared" si="49"/>
        <v>5.6275170010591465E-2</v>
      </c>
    </row>
    <row r="643" spans="15:23" x14ac:dyDescent="0.25">
      <c r="O643" s="1">
        <f t="shared" si="50"/>
        <v>866</v>
      </c>
      <c r="Q643" s="12">
        <f t="shared" si="46"/>
        <v>1.4518465276334137E-4</v>
      </c>
      <c r="S643" s="13">
        <f t="shared" si="47"/>
        <v>0.12572990929305364</v>
      </c>
      <c r="U643" s="13">
        <f t="shared" si="48"/>
        <v>6.5333093743503615E-2</v>
      </c>
      <c r="V643" s="12"/>
      <c r="W643" s="13">
        <f t="shared" si="49"/>
        <v>5.6879578825995876E-2</v>
      </c>
    </row>
    <row r="644" spans="15:23" x14ac:dyDescent="0.25">
      <c r="O644" s="1">
        <f t="shared" si="50"/>
        <v>865</v>
      </c>
      <c r="Q644" s="12">
        <f t="shared" si="46"/>
        <v>1.470950032022051E-4</v>
      </c>
      <c r="S644" s="13">
        <f t="shared" si="47"/>
        <v>0.12723717776990742</v>
      </c>
      <c r="U644" s="13">
        <f t="shared" si="48"/>
        <v>6.6192751440992292E-2</v>
      </c>
      <c r="V644" s="12"/>
      <c r="W644" s="13">
        <f t="shared" si="49"/>
        <v>5.7489475689568789E-2</v>
      </c>
    </row>
    <row r="645" spans="15:23" x14ac:dyDescent="0.25">
      <c r="O645" s="1">
        <f t="shared" si="50"/>
        <v>864</v>
      </c>
      <c r="Q645" s="12">
        <f t="shared" si="46"/>
        <v>1.4902874148571362E-4</v>
      </c>
      <c r="S645" s="13">
        <f t="shared" si="47"/>
        <v>0.12876083264365656</v>
      </c>
      <c r="U645" s="13">
        <f t="shared" si="48"/>
        <v>6.7062933668571134E-2</v>
      </c>
      <c r="V645" s="12"/>
      <c r="W645" s="13">
        <f t="shared" si="49"/>
        <v>5.8104893051399424E-2</v>
      </c>
    </row>
    <row r="646" spans="15:23" x14ac:dyDescent="0.25">
      <c r="O646" s="1">
        <f t="shared" si="50"/>
        <v>863</v>
      </c>
      <c r="Q646" s="12">
        <f t="shared" si="46"/>
        <v>1.5098612059466509E-4</v>
      </c>
      <c r="S646" s="13">
        <f t="shared" si="47"/>
        <v>0.13030102207319597</v>
      </c>
      <c r="U646" s="13">
        <f t="shared" si="48"/>
        <v>6.7943754267599299E-2</v>
      </c>
      <c r="V646" s="12"/>
      <c r="W646" s="13">
        <f t="shared" si="49"/>
        <v>5.8725863230525831E-2</v>
      </c>
    </row>
    <row r="647" spans="15:23" x14ac:dyDescent="0.25">
      <c r="O647" s="1">
        <f t="shared" si="50"/>
        <v>862</v>
      </c>
      <c r="Q647" s="12">
        <f t="shared" si="46"/>
        <v>1.5296739560771746E-4</v>
      </c>
      <c r="S647" s="13">
        <f t="shared" si="47"/>
        <v>0.13185789501385245</v>
      </c>
      <c r="U647" s="13">
        <f t="shared" si="48"/>
        <v>6.883532802347285E-2</v>
      </c>
      <c r="V647" s="12"/>
      <c r="W647" s="13">
        <f t="shared" si="49"/>
        <v>5.9352418406976915E-2</v>
      </c>
    </row>
    <row r="648" spans="15:23" x14ac:dyDescent="0.25">
      <c r="O648" s="1">
        <f t="shared" si="50"/>
        <v>861</v>
      </c>
      <c r="Q648" s="12">
        <f t="shared" si="46"/>
        <v>1.5497282370599032E-4</v>
      </c>
      <c r="S648" s="13">
        <f t="shared" si="47"/>
        <v>0.13343160121085768</v>
      </c>
      <c r="U648" s="13">
        <f t="shared" si="48"/>
        <v>6.9737770667695639E-2</v>
      </c>
      <c r="V648" s="12"/>
      <c r="W648" s="13">
        <f t="shared" si="49"/>
        <v>5.9984590613675171E-2</v>
      </c>
    </row>
    <row r="649" spans="15:23" x14ac:dyDescent="0.25">
      <c r="O649" s="1">
        <f t="shared" si="50"/>
        <v>860</v>
      </c>
      <c r="Q649" s="12">
        <f t="shared" si="46"/>
        <v>1.5700266417736651E-4</v>
      </c>
      <c r="S649" s="13">
        <f t="shared" si="47"/>
        <v>0.1350222911925352</v>
      </c>
      <c r="U649" s="13">
        <f t="shared" si="48"/>
        <v>7.0651198879814928E-2</v>
      </c>
      <c r="V649" s="12"/>
      <c r="W649" s="13">
        <f t="shared" si="49"/>
        <v>6.0622411728197621E-2</v>
      </c>
    </row>
    <row r="650" spans="15:23" x14ac:dyDescent="0.25">
      <c r="O650" s="1">
        <f t="shared" si="50"/>
        <v>859</v>
      </c>
      <c r="Q650" s="12">
        <f t="shared" ref="Q650:Q713" si="51">_xlfn.LOGNORM.DIST(O650,$D$25,$D$26,FALSE)</f>
        <v>1.5905717842049013E-4</v>
      </c>
      <c r="S650" s="13">
        <f t="shared" ref="S650:S713" si="52">IF(O650&gt;$D$6,O650*Q650,0)</f>
        <v>0.13663011626320101</v>
      </c>
      <c r="U650" s="13">
        <f t="shared" ref="U650:U713" si="53">IF(O650&gt;$D$6,$D$6*Q650,0)</f>
        <v>7.1575730289220554E-2</v>
      </c>
      <c r="V650" s="12"/>
      <c r="W650" s="13">
        <f t="shared" ref="W650:W713" si="54">(S650-U650)*EXP(-$D$9*$D$7)</f>
        <v>6.1265913464395395E-2</v>
      </c>
    </row>
    <row r="651" spans="15:23" x14ac:dyDescent="0.25">
      <c r="O651" s="1">
        <f t="shared" ref="O651:O714" si="55">O650-1</f>
        <v>858</v>
      </c>
      <c r="Q651" s="12">
        <f t="shared" si="51"/>
        <v>1.6113662994843812E-4</v>
      </c>
      <c r="S651" s="13">
        <f t="shared" si="52"/>
        <v>0.13825522849575991</v>
      </c>
      <c r="U651" s="13">
        <f t="shared" si="53"/>
        <v>7.2511483476797159E-2</v>
      </c>
      <c r="V651" s="12"/>
      <c r="W651" s="13">
        <f t="shared" si="54"/>
        <v>6.191512736386523E-2</v>
      </c>
    </row>
    <row r="652" spans="15:23" x14ac:dyDescent="0.25">
      <c r="O652" s="1">
        <f t="shared" si="55"/>
        <v>857</v>
      </c>
      <c r="Q652" s="12">
        <f t="shared" si="51"/>
        <v>1.632412843920814E-4</v>
      </c>
      <c r="S652" s="13">
        <f t="shared" si="52"/>
        <v>0.13989778072401376</v>
      </c>
      <c r="U652" s="13">
        <f t="shared" si="53"/>
        <v>7.3458577976436623E-2</v>
      </c>
      <c r="V652" s="12"/>
      <c r="W652" s="13">
        <f t="shared" si="54"/>
        <v>6.2570084787281322E-2</v>
      </c>
    </row>
    <row r="653" spans="15:23" x14ac:dyDescent="0.25">
      <c r="O653" s="1">
        <f t="shared" si="55"/>
        <v>856</v>
      </c>
      <c r="Q653" s="12">
        <f t="shared" si="51"/>
        <v>1.6537140950310131E-4</v>
      </c>
      <c r="S653" s="13">
        <f t="shared" si="52"/>
        <v>0.14155792653465471</v>
      </c>
      <c r="U653" s="13">
        <f t="shared" si="53"/>
        <v>7.4417134276395583E-2</v>
      </c>
      <c r="V653" s="12"/>
      <c r="W653" s="13">
        <f t="shared" si="54"/>
        <v>6.3230816905576345E-2</v>
      </c>
    </row>
    <row r="654" spans="15:23" x14ac:dyDescent="0.25">
      <c r="O654" s="1">
        <f t="shared" si="55"/>
        <v>855</v>
      </c>
      <c r="Q654" s="12">
        <f t="shared" si="51"/>
        <v>1.6752727515666587E-4</v>
      </c>
      <c r="S654" s="13">
        <f t="shared" si="52"/>
        <v>0.14323582025894932</v>
      </c>
      <c r="U654" s="13">
        <f t="shared" si="53"/>
        <v>7.5387273820499645E-2</v>
      </c>
      <c r="V654" s="12"/>
      <c r="W654" s="13">
        <f t="shared" si="54"/>
        <v>6.3897354690975794E-2</v>
      </c>
    </row>
    <row r="655" spans="15:23" x14ac:dyDescent="0.25">
      <c r="O655" s="1">
        <f t="shared" si="55"/>
        <v>854</v>
      </c>
      <c r="Q655" s="12">
        <f t="shared" si="51"/>
        <v>1.6970915335375915E-4</v>
      </c>
      <c r="S655" s="13">
        <f t="shared" si="52"/>
        <v>0.1449316169641103</v>
      </c>
      <c r="U655" s="13">
        <f t="shared" si="53"/>
        <v>7.6369119009191619E-2</v>
      </c>
      <c r="V655" s="12"/>
      <c r="W655" s="13">
        <f t="shared" si="54"/>
        <v>6.4569728907884996E-2</v>
      </c>
    </row>
    <row r="656" spans="15:23" x14ac:dyDescent="0.25">
      <c r="O656" s="1">
        <f t="shared" si="55"/>
        <v>853</v>
      </c>
      <c r="Q656" s="12">
        <f t="shared" si="51"/>
        <v>1.7191731822315426E-4</v>
      </c>
      <c r="S656" s="13">
        <f t="shared" si="52"/>
        <v>0.14664547244435058</v>
      </c>
      <c r="U656" s="13">
        <f t="shared" si="53"/>
        <v>7.7362793200419416E-2</v>
      </c>
      <c r="V656" s="12"/>
      <c r="W656" s="13">
        <f t="shared" si="54"/>
        <v>6.5247970103627942E-2</v>
      </c>
    </row>
    <row r="657" spans="15:23" x14ac:dyDescent="0.25">
      <c r="O657" s="1">
        <f t="shared" si="55"/>
        <v>852</v>
      </c>
      <c r="Q657" s="12">
        <f t="shared" si="51"/>
        <v>1.7415204602300109E-4</v>
      </c>
      <c r="S657" s="13">
        <f t="shared" si="52"/>
        <v>0.14837754321159694</v>
      </c>
      <c r="U657" s="13">
        <f t="shared" si="53"/>
        <v>7.8368420710350495E-2</v>
      </c>
      <c r="V657" s="12"/>
      <c r="W657" s="13">
        <f t="shared" si="54"/>
        <v>6.5932108599028885E-2</v>
      </c>
    </row>
    <row r="658" spans="15:23" x14ac:dyDescent="0.25">
      <c r="O658" s="1">
        <f t="shared" si="55"/>
        <v>851</v>
      </c>
      <c r="Q658" s="12">
        <f t="shared" si="51"/>
        <v>1.7641361514205163E-4</v>
      </c>
      <c r="S658" s="13">
        <f t="shared" si="52"/>
        <v>0.15012798648588593</v>
      </c>
      <c r="U658" s="13">
        <f t="shared" si="53"/>
        <v>7.9386126813923236E-2</v>
      </c>
      <c r="V658" s="12"/>
      <c r="W658" s="13">
        <f t="shared" si="54"/>
        <v>6.6622174478848328E-2</v>
      </c>
    </row>
    <row r="659" spans="15:23" x14ac:dyDescent="0.25">
      <c r="O659" s="1">
        <f t="shared" si="55"/>
        <v>850</v>
      </c>
      <c r="Q659" s="12">
        <f t="shared" si="51"/>
        <v>1.787023061004962E-4</v>
      </c>
      <c r="S659" s="13">
        <f t="shared" si="52"/>
        <v>0.15189696018542176</v>
      </c>
      <c r="U659" s="13">
        <f t="shared" si="53"/>
        <v>8.0416037745223296E-2</v>
      </c>
      <c r="V659" s="12"/>
      <c r="W659" s="13">
        <f t="shared" si="54"/>
        <v>6.7318197582065364E-2</v>
      </c>
    </row>
    <row r="660" spans="15:23" x14ac:dyDescent="0.25">
      <c r="O660" s="1">
        <f t="shared" si="55"/>
        <v>849</v>
      </c>
      <c r="Q660" s="12">
        <f t="shared" si="51"/>
        <v>1.8101840155039132E-4</v>
      </c>
      <c r="S660" s="13">
        <f t="shared" si="52"/>
        <v>0.15368462291628224</v>
      </c>
      <c r="U660" s="13">
        <f t="shared" si="53"/>
        <v>8.1458280697676091E-2</v>
      </c>
      <c r="V660" s="12"/>
      <c r="W660" s="13">
        <f t="shared" si="54"/>
        <v>6.8020207492001952E-2</v>
      </c>
    </row>
    <row r="661" spans="15:23" x14ac:dyDescent="0.25">
      <c r="O661" s="1">
        <f t="shared" si="55"/>
        <v>848</v>
      </c>
      <c r="Q661" s="12">
        <f t="shared" si="51"/>
        <v>1.8336218627569166E-4</v>
      </c>
      <c r="S661" s="13">
        <f t="shared" si="52"/>
        <v>0.15549113396178652</v>
      </c>
      <c r="U661" s="13">
        <f t="shared" si="53"/>
        <v>8.2512983824061248E-2</v>
      </c>
      <c r="V661" s="12"/>
      <c r="W661" s="13">
        <f t="shared" si="54"/>
        <v>6.8728233526296117E-2</v>
      </c>
    </row>
    <row r="662" spans="15:23" x14ac:dyDescent="0.25">
      <c r="O662" s="1">
        <f t="shared" si="55"/>
        <v>847</v>
      </c>
      <c r="Q662" s="12">
        <f t="shared" si="51"/>
        <v>1.8573394719185546E-4</v>
      </c>
      <c r="S662" s="13">
        <f t="shared" si="52"/>
        <v>0.15731665327150157</v>
      </c>
      <c r="U662" s="13">
        <f t="shared" si="53"/>
        <v>8.3580276236334961E-2</v>
      </c>
      <c r="V662" s="12"/>
      <c r="W662" s="13">
        <f t="shared" si="54"/>
        <v>6.9442304726715989E-2</v>
      </c>
    </row>
    <row r="663" spans="15:23" x14ac:dyDescent="0.25">
      <c r="O663" s="1">
        <f t="shared" si="55"/>
        <v>846</v>
      </c>
      <c r="Q663" s="12">
        <f t="shared" si="51"/>
        <v>1.8813397334504047E-4</v>
      </c>
      <c r="S663" s="13">
        <f t="shared" si="52"/>
        <v>0.15916134144990424</v>
      </c>
      <c r="U663" s="13">
        <f t="shared" si="53"/>
        <v>8.4660288005268217E-2</v>
      </c>
      <c r="V663" s="12"/>
      <c r="W663" s="13">
        <f t="shared" si="54"/>
        <v>7.0162449848822833E-2</v>
      </c>
    </row>
    <row r="664" spans="15:23" x14ac:dyDescent="0.25">
      <c r="O664" s="1">
        <f t="shared" si="55"/>
        <v>845</v>
      </c>
      <c r="Q664" s="12">
        <f t="shared" si="51"/>
        <v>1.9056255591083478E-4</v>
      </c>
      <c r="S664" s="13">
        <f t="shared" si="52"/>
        <v>0.1610253597446554</v>
      </c>
      <c r="U664" s="13">
        <f t="shared" si="53"/>
        <v>8.5753150159875655E-2</v>
      </c>
      <c r="V664" s="12"/>
      <c r="W664" s="13">
        <f t="shared" si="54"/>
        <v>7.0888697351465912E-2</v>
      </c>
    </row>
    <row r="665" spans="15:23" x14ac:dyDescent="0.25">
      <c r="O665" s="1">
        <f t="shared" si="55"/>
        <v>844</v>
      </c>
      <c r="Q665" s="12">
        <f t="shared" si="51"/>
        <v>1.9301998819257118E-4</v>
      </c>
      <c r="S665" s="13">
        <f t="shared" si="52"/>
        <v>0.16290887003453008</v>
      </c>
      <c r="U665" s="13">
        <f t="shared" si="53"/>
        <v>8.6858994686657032E-2</v>
      </c>
      <c r="V665" s="12"/>
      <c r="W665" s="13">
        <f t="shared" si="54"/>
        <v>7.1621075386129926E-2</v>
      </c>
    </row>
    <row r="666" spans="15:23" x14ac:dyDescent="0.25">
      <c r="O666" s="1">
        <f t="shared" si="55"/>
        <v>843</v>
      </c>
      <c r="Q666" s="12">
        <f t="shared" si="51"/>
        <v>1.9550656561916283E-4</v>
      </c>
      <c r="S666" s="13">
        <f t="shared" si="52"/>
        <v>0.16481203481695428</v>
      </c>
      <c r="U666" s="13">
        <f t="shared" si="53"/>
        <v>8.7977954528623267E-2</v>
      </c>
      <c r="V666" s="12"/>
      <c r="W666" s="13">
        <f t="shared" si="54"/>
        <v>7.2359611786114775E-2</v>
      </c>
    </row>
    <row r="667" spans="15:23" x14ac:dyDescent="0.25">
      <c r="O667" s="1">
        <f t="shared" si="55"/>
        <v>842</v>
      </c>
      <c r="Q667" s="12">
        <f t="shared" si="51"/>
        <v>1.980225857424765E-4</v>
      </c>
      <c r="S667" s="13">
        <f t="shared" si="52"/>
        <v>0.1667350171951652</v>
      </c>
      <c r="U667" s="13">
        <f t="shared" si="53"/>
        <v>8.911016358411443E-2</v>
      </c>
      <c r="V667" s="12"/>
      <c r="W667" s="13">
        <f t="shared" si="54"/>
        <v>7.3104334055556816E-2</v>
      </c>
    </row>
    <row r="668" spans="15:23" x14ac:dyDescent="0.25">
      <c r="O668" s="1">
        <f t="shared" si="55"/>
        <v>841</v>
      </c>
      <c r="Q668" s="12">
        <f t="shared" si="51"/>
        <v>2.0056834823422968E-4</v>
      </c>
      <c r="S668" s="13">
        <f t="shared" si="52"/>
        <v>0.16867798086498717</v>
      </c>
      <c r="U668" s="13">
        <f t="shared" si="53"/>
        <v>9.0255756705403353E-2</v>
      </c>
      <c r="V668" s="12"/>
      <c r="W668" s="13">
        <f t="shared" si="54"/>
        <v>7.3855269358289857E-2</v>
      </c>
    </row>
    <row r="669" spans="15:23" x14ac:dyDescent="0.25">
      <c r="O669" s="1">
        <f t="shared" si="55"/>
        <v>840</v>
      </c>
      <c r="Q669" s="12">
        <f t="shared" si="51"/>
        <v>2.0314415488240122E-4</v>
      </c>
      <c r="S669" s="13">
        <f t="shared" si="52"/>
        <v>0.17064109010121703</v>
      </c>
      <c r="U669" s="13">
        <f t="shared" si="53"/>
        <v>9.1414869697080556E-2</v>
      </c>
      <c r="V669" s="12"/>
      <c r="W669" s="13">
        <f t="shared" si="54"/>
        <v>7.4612444506544473E-2</v>
      </c>
    </row>
    <row r="670" spans="15:23" x14ac:dyDescent="0.25">
      <c r="O670" s="1">
        <f t="shared" si="55"/>
        <v>839</v>
      </c>
      <c r="Q670" s="12">
        <f t="shared" si="51"/>
        <v>2.0575030958712879E-4</v>
      </c>
      <c r="S670" s="13">
        <f t="shared" si="52"/>
        <v>0.17262450974360105</v>
      </c>
      <c r="U670" s="13">
        <f t="shared" si="53"/>
        <v>9.2587639314207951E-2</v>
      </c>
      <c r="V670" s="12"/>
      <c r="W670" s="13">
        <f t="shared" si="54"/>
        <v>7.5375885949480345E-2</v>
      </c>
    </row>
    <row r="671" spans="15:23" x14ac:dyDescent="0.25">
      <c r="O671" s="1">
        <f t="shared" si="55"/>
        <v>838</v>
      </c>
      <c r="Q671" s="12">
        <f t="shared" si="51"/>
        <v>2.0838711835610767E-4</v>
      </c>
      <c r="S671" s="13">
        <f t="shared" si="52"/>
        <v>0.17462840518241823</v>
      </c>
      <c r="U671" s="13">
        <f t="shared" si="53"/>
        <v>9.3774203260248448E-2</v>
      </c>
      <c r="V671" s="12"/>
      <c r="W671" s="13">
        <f t="shared" si="54"/>
        <v>7.6145619761558897E-2</v>
      </c>
    </row>
    <row r="672" spans="15:23" x14ac:dyDescent="0.25">
      <c r="O672" s="1">
        <f t="shared" si="55"/>
        <v>837</v>
      </c>
      <c r="Q672" s="12">
        <f t="shared" si="51"/>
        <v>2.1105488929946088E-4</v>
      </c>
      <c r="S672" s="13">
        <f t="shared" si="52"/>
        <v>0.17665294234364876</v>
      </c>
      <c r="U672" s="13">
        <f t="shared" si="53"/>
        <v>9.4974700184757399E-2</v>
      </c>
      <c r="V672" s="12"/>
      <c r="W672" s="13">
        <f t="shared" si="54"/>
        <v>7.6921671630749644E-2</v>
      </c>
    </row>
    <row r="673" spans="15:23" x14ac:dyDescent="0.25">
      <c r="O673" s="1">
        <f t="shared" si="55"/>
        <v>836</v>
      </c>
      <c r="Q673" s="12">
        <f t="shared" si="51"/>
        <v>2.1375393262407919E-4</v>
      </c>
      <c r="S673" s="13">
        <f t="shared" si="52"/>
        <v>0.17869828767373019</v>
      </c>
      <c r="U673" s="13">
        <f t="shared" si="53"/>
        <v>9.6189269680835632E-2</v>
      </c>
      <c r="V673" s="12"/>
      <c r="W673" s="13">
        <f t="shared" si="54"/>
        <v>7.7704066846572731E-2</v>
      </c>
    </row>
    <row r="674" spans="15:23" x14ac:dyDescent="0.25">
      <c r="O674" s="1">
        <f t="shared" si="55"/>
        <v>835</v>
      </c>
      <c r="Q674" s="12">
        <f t="shared" si="51"/>
        <v>2.1648456062740994E-4</v>
      </c>
      <c r="S674" s="13">
        <f t="shared" si="52"/>
        <v>0.18076460812388731</v>
      </c>
      <c r="U674" s="13">
        <f t="shared" si="53"/>
        <v>9.741805228233448E-2</v>
      </c>
      <c r="V674" s="12"/>
      <c r="W674" s="13">
        <f t="shared" si="54"/>
        <v>7.8492830287973547E-2</v>
      </c>
    </row>
    <row r="675" spans="15:23" x14ac:dyDescent="0.25">
      <c r="O675" s="1">
        <f t="shared" si="55"/>
        <v>834</v>
      </c>
      <c r="Q675" s="12">
        <f t="shared" si="51"/>
        <v>2.1924708769068557E-4</v>
      </c>
      <c r="S675" s="13">
        <f t="shared" si="52"/>
        <v>0.18285207113403176</v>
      </c>
      <c r="U675" s="13">
        <f t="shared" si="53"/>
        <v>9.8661189460808513E-2</v>
      </c>
      <c r="V675" s="12"/>
      <c r="W675" s="13">
        <f t="shared" si="54"/>
        <v>7.9287986411029771E-2</v>
      </c>
    </row>
    <row r="676" spans="15:23" x14ac:dyDescent="0.25">
      <c r="O676" s="1">
        <f t="shared" si="55"/>
        <v>833</v>
      </c>
      <c r="Q676" s="12">
        <f t="shared" si="51"/>
        <v>2.2204183027160269E-4</v>
      </c>
      <c r="S676" s="13">
        <f t="shared" si="52"/>
        <v>0.18496084461624504</v>
      </c>
      <c r="U676" s="13">
        <f t="shared" si="53"/>
        <v>9.9918823622221209E-2</v>
      </c>
      <c r="V676" s="12"/>
      <c r="W676" s="13">
        <f t="shared" si="54"/>
        <v>8.0089559236498742E-2</v>
      </c>
    </row>
    <row r="677" spans="15:23" x14ac:dyDescent="0.25">
      <c r="O677" s="1">
        <f t="shared" si="55"/>
        <v>832</v>
      </c>
      <c r="Q677" s="12">
        <f t="shared" si="51"/>
        <v>2.2486910689639581E-4</v>
      </c>
      <c r="S677" s="13">
        <f t="shared" si="52"/>
        <v>0.18709109693780132</v>
      </c>
      <c r="U677" s="13">
        <f t="shared" si="53"/>
        <v>0.10119109810337812</v>
      </c>
      <c r="V677" s="12"/>
      <c r="W677" s="13">
        <f t="shared" si="54"/>
        <v>8.089757233718807E-2</v>
      </c>
    </row>
    <row r="678" spans="15:23" x14ac:dyDescent="0.25">
      <c r="O678" s="1">
        <f t="shared" si="55"/>
        <v>831</v>
      </c>
      <c r="Q678" s="12">
        <f t="shared" si="51"/>
        <v>2.2772923815132887E-4</v>
      </c>
      <c r="S678" s="13">
        <f t="shared" si="52"/>
        <v>0.18924299690375429</v>
      </c>
      <c r="U678" s="13">
        <f t="shared" si="53"/>
        <v>0.10247815716809799</v>
      </c>
      <c r="V678" s="12"/>
      <c r="W678" s="13">
        <f t="shared" si="54"/>
        <v>8.1712048825162448E-2</v>
      </c>
    </row>
    <row r="679" spans="15:23" x14ac:dyDescent="0.25">
      <c r="O679" s="1">
        <f t="shared" si="55"/>
        <v>830</v>
      </c>
      <c r="Q679" s="12">
        <f t="shared" si="51"/>
        <v>2.3062254667358857E-4</v>
      </c>
      <c r="S679" s="13">
        <f t="shared" si="52"/>
        <v>0.19141671373907851</v>
      </c>
      <c r="U679" s="13">
        <f t="shared" si="53"/>
        <v>0.10378014600311486</v>
      </c>
      <c r="V679" s="12"/>
      <c r="W679" s="13">
        <f t="shared" si="54"/>
        <v>8.2533011338784226E-2</v>
      </c>
    </row>
    <row r="680" spans="15:23" x14ac:dyDescent="0.25">
      <c r="O680" s="1">
        <f t="shared" si="55"/>
        <v>829</v>
      </c>
      <c r="Q680" s="12">
        <f t="shared" si="51"/>
        <v>2.335493571415429E-4</v>
      </c>
      <c r="S680" s="13">
        <f t="shared" si="52"/>
        <v>0.19361241707033905</v>
      </c>
      <c r="U680" s="13">
        <f t="shared" si="53"/>
        <v>0.10509721071369431</v>
      </c>
      <c r="V680" s="12"/>
      <c r="W680" s="13">
        <f t="shared" si="54"/>
        <v>8.3360482029579061E-2</v>
      </c>
    </row>
    <row r="681" spans="15:23" x14ac:dyDescent="0.25">
      <c r="O681" s="1">
        <f t="shared" si="55"/>
        <v>828</v>
      </c>
      <c r="Q681" s="12">
        <f t="shared" si="51"/>
        <v>2.3650999626438949E-4</v>
      </c>
      <c r="S681" s="13">
        <f t="shared" si="52"/>
        <v>0.19583027690691449</v>
      </c>
      <c r="U681" s="13">
        <f t="shared" si="53"/>
        <v>0.10642949831897527</v>
      </c>
      <c r="V681" s="12"/>
      <c r="W681" s="13">
        <f t="shared" si="54"/>
        <v>8.4194482548939256E-2</v>
      </c>
    </row>
    <row r="682" spans="15:23" x14ac:dyDescent="0.25">
      <c r="O682" s="1">
        <f t="shared" si="55"/>
        <v>827</v>
      </c>
      <c r="Q682" s="12">
        <f t="shared" si="51"/>
        <v>2.3950479277114507E-4</v>
      </c>
      <c r="S682" s="13">
        <f t="shared" si="52"/>
        <v>0.19807046362173697</v>
      </c>
      <c r="U682" s="13">
        <f t="shared" si="53"/>
        <v>0.10777715674701528</v>
      </c>
      <c r="V682" s="12"/>
      <c r="W682" s="13">
        <f t="shared" si="54"/>
        <v>8.5035034034651708E-2</v>
      </c>
    </row>
    <row r="683" spans="15:23" x14ac:dyDescent="0.25">
      <c r="O683" s="1">
        <f t="shared" si="55"/>
        <v>826</v>
      </c>
      <c r="Q683" s="12">
        <f t="shared" si="51"/>
        <v>2.4253407739898642E-4</v>
      </c>
      <c r="S683" s="13">
        <f t="shared" si="52"/>
        <v>0.20033314793156279</v>
      </c>
      <c r="U683" s="13">
        <f t="shared" si="53"/>
        <v>0.10914033482954388</v>
      </c>
      <c r="V683" s="12"/>
      <c r="W683" s="13">
        <f t="shared" si="54"/>
        <v>8.5882157097258396E-2</v>
      </c>
    </row>
    <row r="684" spans="15:23" x14ac:dyDescent="0.25">
      <c r="O684" s="1">
        <f t="shared" si="55"/>
        <v>825</v>
      </c>
      <c r="Q684" s="12">
        <f t="shared" si="51"/>
        <v>2.455981828809256E-4</v>
      </c>
      <c r="S684" s="13">
        <f t="shared" si="52"/>
        <v>0.20261850087676361</v>
      </c>
      <c r="U684" s="13">
        <f t="shared" si="53"/>
        <v>0.11051918229641652</v>
      </c>
      <c r="V684" s="12"/>
      <c r="W684" s="13">
        <f t="shared" si="54"/>
        <v>8.6735871806247714E-2</v>
      </c>
    </row>
    <row r="685" spans="15:23" x14ac:dyDescent="0.25">
      <c r="O685" s="1">
        <f t="shared" si="55"/>
        <v>824</v>
      </c>
      <c r="Q685" s="12">
        <f t="shared" si="51"/>
        <v>2.4869744393279724E-4</v>
      </c>
      <c r="S685" s="13">
        <f t="shared" si="52"/>
        <v>0.20492669380062492</v>
      </c>
      <c r="U685" s="13">
        <f t="shared" si="53"/>
        <v>0.11191384976975875</v>
      </c>
      <c r="V685" s="12"/>
      <c r="W685" s="13">
        <f t="shared" si="54"/>
        <v>8.7596197676073143E-2</v>
      </c>
    </row>
    <row r="686" spans="15:23" x14ac:dyDescent="0.25">
      <c r="O686" s="1">
        <f t="shared" si="55"/>
        <v>823</v>
      </c>
      <c r="Q686" s="12">
        <f t="shared" si="51"/>
        <v>2.5183219723956096E-4</v>
      </c>
      <c r="S686" s="13">
        <f t="shared" si="52"/>
        <v>0.20725789832815866</v>
      </c>
      <c r="U686" s="13">
        <f t="shared" si="53"/>
        <v>0.11332448875780243</v>
      </c>
      <c r="V686" s="12"/>
      <c r="W686" s="13">
        <f t="shared" si="54"/>
        <v>8.8463153652004745E-2</v>
      </c>
    </row>
    <row r="687" spans="15:23" x14ac:dyDescent="0.25">
      <c r="O687" s="1">
        <f t="shared" si="55"/>
        <v>822</v>
      </c>
      <c r="Q687" s="12">
        <f t="shared" si="51"/>
        <v>2.5500278144087961E-4</v>
      </c>
      <c r="S687" s="13">
        <f t="shared" si="52"/>
        <v>0.20961228634440304</v>
      </c>
      <c r="U687" s="13">
        <f t="shared" si="53"/>
        <v>0.11475125164839582</v>
      </c>
      <c r="V687" s="12"/>
      <c r="W687" s="13">
        <f t="shared" si="54"/>
        <v>8.9336758095804478E-2</v>
      </c>
    </row>
    <row r="688" spans="15:23" x14ac:dyDescent="0.25">
      <c r="O688" s="1">
        <f t="shared" si="55"/>
        <v>821</v>
      </c>
      <c r="Q688" s="12">
        <f t="shared" si="51"/>
        <v>2.5820953711599217E-4</v>
      </c>
      <c r="S688" s="13">
        <f t="shared" si="52"/>
        <v>0.21199002997222957</v>
      </c>
      <c r="U688" s="13">
        <f t="shared" si="53"/>
        <v>0.11619429170219647</v>
      </c>
      <c r="V688" s="12"/>
      <c r="W688" s="13">
        <f t="shared" si="54"/>
        <v>9.0217028771236482E-2</v>
      </c>
    </row>
    <row r="689" spans="15:23" x14ac:dyDescent="0.25">
      <c r="O689" s="1">
        <f t="shared" si="55"/>
        <v>820</v>
      </c>
      <c r="Q689" s="12">
        <f t="shared" si="51"/>
        <v>2.6145280676784975E-4</v>
      </c>
      <c r="S689" s="13">
        <f t="shared" si="52"/>
        <v>0.21439130154963679</v>
      </c>
      <c r="U689" s="13">
        <f t="shared" si="53"/>
        <v>0.11765376304553239</v>
      </c>
      <c r="V689" s="12"/>
      <c r="W689" s="13">
        <f t="shared" si="54"/>
        <v>9.1103982829406183E-2</v>
      </c>
    </row>
    <row r="690" spans="15:23" x14ac:dyDescent="0.25">
      <c r="O690" s="1">
        <f t="shared" si="55"/>
        <v>819</v>
      </c>
      <c r="Q690" s="12">
        <f t="shared" si="51"/>
        <v>2.6473293480649138E-4</v>
      </c>
      <c r="S690" s="13">
        <f t="shared" si="52"/>
        <v>0.21681627360651645</v>
      </c>
      <c r="U690" s="13">
        <f t="shared" si="53"/>
        <v>0.11912982066292112</v>
      </c>
      <c r="V690" s="12"/>
      <c r="W690" s="13">
        <f t="shared" si="54"/>
        <v>9.1997636793924725E-2</v>
      </c>
    </row>
    <row r="691" spans="15:23" x14ac:dyDescent="0.25">
      <c r="O691" s="1">
        <f t="shared" si="55"/>
        <v>818</v>
      </c>
      <c r="Q691" s="12">
        <f t="shared" si="51"/>
        <v>2.6805026753167724E-4</v>
      </c>
      <c r="S691" s="13">
        <f t="shared" si="52"/>
        <v>0.21926511884091199</v>
      </c>
      <c r="U691" s="13">
        <f t="shared" si="53"/>
        <v>0.12062262038925475</v>
      </c>
      <c r="V691" s="12"/>
      <c r="W691" s="13">
        <f t="shared" si="54"/>
        <v>9.2898006545909947E-2</v>
      </c>
    </row>
    <row r="692" spans="15:23" x14ac:dyDescent="0.25">
      <c r="O692" s="1">
        <f t="shared" si="55"/>
        <v>817</v>
      </c>
      <c r="Q692" s="12">
        <f t="shared" si="51"/>
        <v>2.7140515311471433E-4</v>
      </c>
      <c r="S692" s="13">
        <f t="shared" si="52"/>
        <v>0.2217380100947216</v>
      </c>
      <c r="U692" s="13">
        <f t="shared" si="53"/>
        <v>0.12213231890162145</v>
      </c>
      <c r="V692" s="12"/>
      <c r="W692" s="13">
        <f t="shared" si="54"/>
        <v>9.3805107308806673E-2</v>
      </c>
    </row>
    <row r="693" spans="15:23" x14ac:dyDescent="0.25">
      <c r="O693" s="1">
        <f t="shared" si="55"/>
        <v>816</v>
      </c>
      <c r="Q693" s="12">
        <f t="shared" si="51"/>
        <v>2.7479794157953273E-4</v>
      </c>
      <c r="S693" s="13">
        <f t="shared" si="52"/>
        <v>0.2242351203288987</v>
      </c>
      <c r="U693" s="13">
        <f t="shared" si="53"/>
        <v>0.12365907371078973</v>
      </c>
      <c r="V693" s="12"/>
      <c r="W693" s="13">
        <f t="shared" si="54"/>
        <v>9.4718953633051051E-2</v>
      </c>
    </row>
    <row r="694" spans="15:23" x14ac:dyDescent="0.25">
      <c r="O694" s="1">
        <f t="shared" si="55"/>
        <v>815</v>
      </c>
      <c r="Q694" s="12">
        <f t="shared" si="51"/>
        <v>2.7822898478291932E-4</v>
      </c>
      <c r="S694" s="13">
        <f t="shared" si="52"/>
        <v>0.22675662259807924</v>
      </c>
      <c r="U694" s="13">
        <f t="shared" si="53"/>
        <v>0.1252030431523137</v>
      </c>
      <c r="V694" s="12"/>
      <c r="W694" s="13">
        <f t="shared" si="54"/>
        <v>9.5639559380552339E-2</v>
      </c>
    </row>
    <row r="695" spans="15:23" x14ac:dyDescent="0.25">
      <c r="O695" s="1">
        <f t="shared" si="55"/>
        <v>814</v>
      </c>
      <c r="Q695" s="12">
        <f t="shared" si="51"/>
        <v>2.8169863639395748E-4</v>
      </c>
      <c r="S695" s="13">
        <f t="shared" si="52"/>
        <v>0.2293026900246814</v>
      </c>
      <c r="U695" s="13">
        <f t="shared" si="53"/>
        <v>0.12676438637728088</v>
      </c>
      <c r="V695" s="12"/>
      <c r="W695" s="13">
        <f t="shared" si="54"/>
        <v>9.6566937709014214E-2</v>
      </c>
    </row>
    <row r="696" spans="15:23" x14ac:dyDescent="0.25">
      <c r="O696" s="1">
        <f t="shared" si="55"/>
        <v>813</v>
      </c>
      <c r="Q696" s="12">
        <f t="shared" si="51"/>
        <v>2.8520725187261716E-4</v>
      </c>
      <c r="S696" s="13">
        <f t="shared" si="52"/>
        <v>0.23187349577243774</v>
      </c>
      <c r="U696" s="13">
        <f t="shared" si="53"/>
        <v>0.12834326334267773</v>
      </c>
      <c r="V696" s="12"/>
      <c r="W696" s="13">
        <f t="shared" si="54"/>
        <v>9.7501101056081799E-2</v>
      </c>
    </row>
    <row r="697" spans="15:23" x14ac:dyDescent="0.25">
      <c r="O697" s="1">
        <f t="shared" si="55"/>
        <v>812</v>
      </c>
      <c r="Q697" s="12">
        <f t="shared" si="51"/>
        <v>2.8875518844751077E-4</v>
      </c>
      <c r="S697" s="13">
        <f t="shared" si="52"/>
        <v>0.23446921301937873</v>
      </c>
      <c r="U697" s="13">
        <f t="shared" si="53"/>
        <v>0.12993983480137986</v>
      </c>
      <c r="V697" s="12"/>
      <c r="W697" s="13">
        <f t="shared" si="54"/>
        <v>9.8442061123325236E-2</v>
      </c>
    </row>
    <row r="698" spans="15:23" x14ac:dyDescent="0.25">
      <c r="O698" s="1">
        <f t="shared" si="55"/>
        <v>811</v>
      </c>
      <c r="Q698" s="12">
        <f t="shared" si="51"/>
        <v>2.9234280509277621E-4</v>
      </c>
      <c r="S698" s="13">
        <f t="shared" si="52"/>
        <v>0.23709001493024151</v>
      </c>
      <c r="U698" s="13">
        <f t="shared" si="53"/>
        <v>0.1315542622917493</v>
      </c>
      <c r="V698" s="12"/>
      <c r="W698" s="13">
        <f t="shared" si="54"/>
        <v>9.9389828860052265E-2</v>
      </c>
    </row>
    <row r="699" spans="15:23" x14ac:dyDescent="0.25">
      <c r="O699" s="1">
        <f t="shared" si="55"/>
        <v>810</v>
      </c>
      <c r="Q699" s="12">
        <f t="shared" si="51"/>
        <v>2.9597046250408511E-4</v>
      </c>
      <c r="S699" s="13">
        <f t="shared" si="52"/>
        <v>0.23973607462830893</v>
      </c>
      <c r="U699" s="13">
        <f t="shared" si="53"/>
        <v>0.1331867081268383</v>
      </c>
      <c r="V699" s="12"/>
      <c r="W699" s="13">
        <f t="shared" si="54"/>
        <v>0.10034441444695466</v>
      </c>
    </row>
    <row r="700" spans="15:23" x14ac:dyDescent="0.25">
      <c r="O700" s="1">
        <f t="shared" si="55"/>
        <v>809</v>
      </c>
      <c r="Q700" s="12">
        <f t="shared" si="51"/>
        <v>2.9963852307375566E-4</v>
      </c>
      <c r="S700" s="13">
        <f t="shared" si="52"/>
        <v>0.24240756516666834</v>
      </c>
      <c r="U700" s="13">
        <f t="shared" si="53"/>
        <v>0.13483733538319004</v>
      </c>
      <c r="V700" s="12"/>
      <c r="W700" s="13">
        <f t="shared" si="54"/>
        <v>0.1013058272795879</v>
      </c>
    </row>
    <row r="701" spans="15:23" x14ac:dyDescent="0.25">
      <c r="O701" s="1">
        <f t="shared" si="55"/>
        <v>808</v>
      </c>
      <c r="Q701" s="12">
        <f t="shared" si="51"/>
        <v>3.0334735086496413E-4</v>
      </c>
      <c r="S701" s="13">
        <f t="shared" si="52"/>
        <v>0.24510465949889101</v>
      </c>
      <c r="U701" s="13">
        <f t="shared" si="53"/>
        <v>0.13650630788923385</v>
      </c>
      <c r="V701" s="12"/>
      <c r="W701" s="13">
        <f t="shared" si="54"/>
        <v>0.10227407595168703</v>
      </c>
    </row>
    <row r="702" spans="15:23" x14ac:dyDescent="0.25">
      <c r="O702" s="1">
        <f t="shared" si="55"/>
        <v>807</v>
      </c>
      <c r="Q702" s="12">
        <f t="shared" si="51"/>
        <v>3.0709731158502454E-4</v>
      </c>
      <c r="S702" s="13">
        <f t="shared" si="52"/>
        <v>0.24782753044911479</v>
      </c>
      <c r="U702" s="13">
        <f t="shared" si="53"/>
        <v>0.13819379021326103</v>
      </c>
      <c r="V702" s="12"/>
      <c r="W702" s="13">
        <f t="shared" si="54"/>
        <v>0.10324916823831549</v>
      </c>
    </row>
    <row r="703" spans="15:23" x14ac:dyDescent="0.25">
      <c r="O703" s="1">
        <f t="shared" si="55"/>
        <v>806</v>
      </c>
      <c r="Q703" s="12">
        <f t="shared" si="51"/>
        <v>3.1088877255774943E-4</v>
      </c>
      <c r="S703" s="13">
        <f t="shared" si="52"/>
        <v>0.25057635068154605</v>
      </c>
      <c r="U703" s="13">
        <f t="shared" si="53"/>
        <v>0.13989994765098723</v>
      </c>
      <c r="V703" s="12"/>
      <c r="W703" s="13">
        <f t="shared" si="54"/>
        <v>0.10423111107885655</v>
      </c>
    </row>
    <row r="704" spans="15:23" x14ac:dyDescent="0.25">
      <c r="O704" s="1">
        <f t="shared" si="55"/>
        <v>805</v>
      </c>
      <c r="Q704" s="12">
        <f t="shared" si="51"/>
        <v>3.1472210269481438E-4</v>
      </c>
      <c r="S704" s="13">
        <f t="shared" si="52"/>
        <v>0.25335129266932555</v>
      </c>
      <c r="U704" s="13">
        <f t="shared" si="53"/>
        <v>0.14162494621266647</v>
      </c>
      <c r="V704" s="12"/>
      <c r="W704" s="13">
        <f t="shared" si="54"/>
        <v>0.10521991055982771</v>
      </c>
    </row>
    <row r="705" spans="15:23" x14ac:dyDescent="0.25">
      <c r="O705" s="1">
        <f t="shared" si="55"/>
        <v>804</v>
      </c>
      <c r="Q705" s="12">
        <f t="shared" si="51"/>
        <v>3.1859767246621102E-4</v>
      </c>
      <c r="S705" s="13">
        <f t="shared" si="52"/>
        <v>0.25615252866283367</v>
      </c>
      <c r="U705" s="13">
        <f t="shared" si="53"/>
        <v>0.14336895260979496</v>
      </c>
      <c r="V705" s="12"/>
      <c r="W705" s="13">
        <f t="shared" si="54"/>
        <v>0.10621557189755364</v>
      </c>
    </row>
    <row r="706" spans="15:23" x14ac:dyDescent="0.25">
      <c r="O706" s="1">
        <f t="shared" si="55"/>
        <v>803</v>
      </c>
      <c r="Q706" s="12">
        <f t="shared" si="51"/>
        <v>3.2251585386966697E-4</v>
      </c>
      <c r="S706" s="13">
        <f t="shared" si="52"/>
        <v>0.2589802306573426</v>
      </c>
      <c r="U706" s="13">
        <f t="shared" si="53"/>
        <v>0.14513213424135013</v>
      </c>
      <c r="V706" s="12"/>
      <c r="W706" s="13">
        <f t="shared" si="54"/>
        <v>0.10721809942066172</v>
      </c>
    </row>
    <row r="707" spans="15:23" x14ac:dyDescent="0.25">
      <c r="O707" s="1">
        <f t="shared" si="55"/>
        <v>802</v>
      </c>
      <c r="Q707" s="12">
        <f t="shared" si="51"/>
        <v>3.2647702039908329E-4</v>
      </c>
      <c r="S707" s="13">
        <f t="shared" si="52"/>
        <v>0.2618345703600648</v>
      </c>
      <c r="U707" s="13">
        <f t="shared" si="53"/>
        <v>0.14691465917958749</v>
      </c>
      <c r="V707" s="12"/>
      <c r="W707" s="13">
        <f t="shared" si="54"/>
        <v>0.1082274965524255</v>
      </c>
    </row>
    <row r="708" spans="15:23" x14ac:dyDescent="0.25">
      <c r="O708" s="1">
        <f t="shared" si="55"/>
        <v>801</v>
      </c>
      <c r="Q708" s="12">
        <f t="shared" si="51"/>
        <v>3.3048154701196381E-4</v>
      </c>
      <c r="S708" s="13">
        <f t="shared" si="52"/>
        <v>0.26471571915658298</v>
      </c>
      <c r="U708" s="13">
        <f t="shared" si="53"/>
        <v>0.14871669615538372</v>
      </c>
      <c r="V708" s="12"/>
      <c r="W708" s="13">
        <f t="shared" si="54"/>
        <v>0.10924376579295297</v>
      </c>
    </row>
    <row r="709" spans="15:23" x14ac:dyDescent="0.25">
      <c r="O709" s="1">
        <f t="shared" si="55"/>
        <v>800</v>
      </c>
      <c r="Q709" s="12">
        <f t="shared" si="51"/>
        <v>3.345298100958009E-4</v>
      </c>
      <c r="S709" s="13">
        <f t="shared" si="52"/>
        <v>0.26762384807664075</v>
      </c>
      <c r="U709" s="13">
        <f t="shared" si="53"/>
        <v>0.1505384145431104</v>
      </c>
      <c r="V709" s="12"/>
      <c r="W709" s="13">
        <f t="shared" si="54"/>
        <v>0.11026690870121476</v>
      </c>
    </row>
    <row r="710" spans="15:23" x14ac:dyDescent="0.25">
      <c r="O710" s="1">
        <f t="shared" si="55"/>
        <v>799</v>
      </c>
      <c r="Q710" s="12">
        <f t="shared" si="51"/>
        <v>3.3862218743340355E-4</v>
      </c>
      <c r="S710" s="13">
        <f t="shared" si="52"/>
        <v>0.27055912775928942</v>
      </c>
      <c r="U710" s="13">
        <f t="shared" si="53"/>
        <v>0.15237998434503161</v>
      </c>
      <c r="V710" s="12"/>
      <c r="W710" s="13">
        <f t="shared" si="54"/>
        <v>0.11129692587691455</v>
      </c>
    </row>
    <row r="711" spans="15:23" x14ac:dyDescent="0.25">
      <c r="O711" s="1">
        <f t="shared" si="55"/>
        <v>798</v>
      </c>
      <c r="Q711" s="12">
        <f t="shared" si="51"/>
        <v>3.4275905816718742E-4</v>
      </c>
      <c r="S711" s="13">
        <f t="shared" si="52"/>
        <v>0.27352172841741557</v>
      </c>
      <c r="U711" s="13">
        <f t="shared" si="53"/>
        <v>0.15424157617523435</v>
      </c>
      <c r="V711" s="12"/>
      <c r="W711" s="13">
        <f t="shared" si="54"/>
        <v>0.11233381694221597</v>
      </c>
    </row>
    <row r="712" spans="15:23" x14ac:dyDescent="0.25">
      <c r="O712" s="1">
        <f t="shared" si="55"/>
        <v>797</v>
      </c>
      <c r="Q712" s="12">
        <f t="shared" si="51"/>
        <v>3.4694080276236354E-4</v>
      </c>
      <c r="S712" s="13">
        <f t="shared" si="52"/>
        <v>0.27651181980160372</v>
      </c>
      <c r="U712" s="13">
        <f t="shared" si="53"/>
        <v>0.15612336124306359</v>
      </c>
      <c r="V712" s="12"/>
      <c r="W712" s="13">
        <f t="shared" si="54"/>
        <v>0.11337758052331021</v>
      </c>
    </row>
    <row r="713" spans="15:23" x14ac:dyDescent="0.25">
      <c r="O713" s="1">
        <f t="shared" si="55"/>
        <v>796</v>
      </c>
      <c r="Q713" s="12">
        <f t="shared" si="51"/>
        <v>3.5116780296902666E-4</v>
      </c>
      <c r="S713" s="13">
        <f t="shared" si="52"/>
        <v>0.2795295711633452</v>
      </c>
      <c r="U713" s="13">
        <f t="shared" si="53"/>
        <v>0.15802551133606199</v>
      </c>
      <c r="V713" s="12"/>
      <c r="W713" s="13">
        <f t="shared" si="54"/>
        <v>0.11442821423183402</v>
      </c>
    </row>
    <row r="714" spans="15:23" x14ac:dyDescent="0.25">
      <c r="O714" s="1">
        <f t="shared" si="55"/>
        <v>795</v>
      </c>
      <c r="Q714" s="12">
        <f t="shared" ref="Q714:Q777" si="56">_xlfn.LOGNORM.DIST(O714,$D$25,$D$26,FALSE)</f>
        <v>3.5544044178314744E-4</v>
      </c>
      <c r="S714" s="13">
        <f t="shared" ref="S714:S777" si="57">IF(O714&gt;$D$6,O714*Q714,0)</f>
        <v>0.28257515121760224</v>
      </c>
      <c r="U714" s="13">
        <f t="shared" ref="U714:U777" si="58">IF(O714&gt;$D$6,$D$6*Q714,0)</f>
        <v>0.15994819880241634</v>
      </c>
      <c r="V714" s="12"/>
      <c r="W714" s="13">
        <f t="shared" ref="W714:W777" si="59">(S714-U714)*EXP(-$D$9*$D$7)</f>
        <v>0.1154857146461454</v>
      </c>
    </row>
    <row r="715" spans="15:23" x14ac:dyDescent="0.25">
      <c r="O715" s="1">
        <f t="shared" ref="O715:O778" si="60">O714-1</f>
        <v>794</v>
      </c>
      <c r="Q715" s="12">
        <f t="shared" si="56"/>
        <v>3.5975910340642147E-4</v>
      </c>
      <c r="S715" s="13">
        <f t="shared" si="57"/>
        <v>0.28564872810469866</v>
      </c>
      <c r="U715" s="13">
        <f t="shared" si="58"/>
        <v>0.16189159653288965</v>
      </c>
      <c r="V715" s="12"/>
      <c r="W715" s="13">
        <f t="shared" si="59"/>
        <v>0.11655007729244922</v>
      </c>
    </row>
    <row r="716" spans="15:23" x14ac:dyDescent="0.25">
      <c r="O716" s="1">
        <f t="shared" si="60"/>
        <v>793</v>
      </c>
      <c r="Q716" s="12">
        <f t="shared" si="56"/>
        <v>3.6412417320498119E-4</v>
      </c>
      <c r="S716" s="13">
        <f t="shared" si="57"/>
        <v>0.28875046935155008</v>
      </c>
      <c r="U716" s="13">
        <f t="shared" si="58"/>
        <v>0.16385587794224155</v>
      </c>
      <c r="V716" s="12"/>
      <c r="W716" s="13">
        <f t="shared" si="59"/>
        <v>0.11762129662578276</v>
      </c>
    </row>
    <row r="717" spans="15:23" x14ac:dyDescent="0.25">
      <c r="O717" s="1">
        <f t="shared" si="60"/>
        <v>792</v>
      </c>
      <c r="Q717" s="12">
        <f t="shared" si="56"/>
        <v>3.6853603766691867E-4</v>
      </c>
      <c r="S717" s="13">
        <f t="shared" si="57"/>
        <v>0.29188054183219958</v>
      </c>
      <c r="U717" s="13">
        <f t="shared" si="58"/>
        <v>0.16584121695011339</v>
      </c>
      <c r="V717" s="12"/>
      <c r="W717" s="13">
        <f t="shared" si="59"/>
        <v>0.1186993660108515</v>
      </c>
    </row>
    <row r="718" spans="15:23" x14ac:dyDescent="0.25">
      <c r="O718" s="1">
        <f t="shared" si="60"/>
        <v>791</v>
      </c>
      <c r="Q718" s="12">
        <f t="shared" si="56"/>
        <v>3.7299508435867547E-4</v>
      </c>
      <c r="S718" s="13">
        <f t="shared" si="57"/>
        <v>0.2950391117277123</v>
      </c>
      <c r="U718" s="13">
        <f t="shared" si="58"/>
        <v>0.16784778796140395</v>
      </c>
      <c r="V718" s="12"/>
      <c r="W718" s="13">
        <f t="shared" si="59"/>
        <v>0.11978427770274055</v>
      </c>
    </row>
    <row r="719" spans="15:23" x14ac:dyDescent="0.25">
      <c r="O719" s="1">
        <f t="shared" si="60"/>
        <v>790</v>
      </c>
      <c r="Q719" s="12">
        <f t="shared" si="56"/>
        <v>3.7750170188019245E-4</v>
      </c>
      <c r="S719" s="13">
        <f t="shared" si="57"/>
        <v>0.29822634448535201</v>
      </c>
      <c r="U719" s="13">
        <f t="shared" si="58"/>
        <v>0.1698757658460866</v>
      </c>
      <c r="V719" s="12"/>
      <c r="W719" s="13">
        <f t="shared" si="59"/>
        <v>0.12087602282747623</v>
      </c>
    </row>
    <row r="720" spans="15:23" x14ac:dyDescent="0.25">
      <c r="O720" s="1">
        <f t="shared" si="60"/>
        <v>789</v>
      </c>
      <c r="Q720" s="12">
        <f t="shared" si="56"/>
        <v>3.8205627981886331E-4</v>
      </c>
      <c r="S720" s="13">
        <f t="shared" si="57"/>
        <v>0.30144240477708317</v>
      </c>
      <c r="U720" s="13">
        <f t="shared" si="58"/>
        <v>0.1719253259184885</v>
      </c>
      <c r="V720" s="12"/>
      <c r="W720" s="13">
        <f t="shared" si="59"/>
        <v>0.12197459136245878</v>
      </c>
    </row>
    <row r="721" spans="15:23" x14ac:dyDescent="0.25">
      <c r="O721" s="1">
        <f t="shared" si="60"/>
        <v>788</v>
      </c>
      <c r="Q721" s="12">
        <f t="shared" si="56"/>
        <v>3.8665920870225429E-4</v>
      </c>
      <c r="S721" s="13">
        <f t="shared" si="57"/>
        <v>0.30468745645737638</v>
      </c>
      <c r="U721" s="13">
        <f t="shared" si="58"/>
        <v>0.17399664391601444</v>
      </c>
      <c r="V721" s="12"/>
      <c r="W721" s="13">
        <f t="shared" si="59"/>
        <v>0.12307997211676222</v>
      </c>
    </row>
    <row r="722" spans="15:23" x14ac:dyDescent="0.25">
      <c r="O722" s="1">
        <f t="shared" si="60"/>
        <v>787</v>
      </c>
      <c r="Q722" s="12">
        <f t="shared" si="56"/>
        <v>3.9131087994959422E-4</v>
      </c>
      <c r="S722" s="13">
        <f t="shared" si="57"/>
        <v>0.30796166252033064</v>
      </c>
      <c r="U722" s="13">
        <f t="shared" si="58"/>
        <v>0.17608989597731739</v>
      </c>
      <c r="V722" s="12"/>
      <c r="W722" s="13">
        <f t="shared" si="59"/>
        <v>0.1241921527113118</v>
      </c>
    </row>
    <row r="723" spans="15:23" x14ac:dyDescent="0.25">
      <c r="O723" s="1">
        <f t="shared" si="60"/>
        <v>786</v>
      </c>
      <c r="Q723" s="12">
        <f t="shared" si="56"/>
        <v>3.9601168582196637E-4</v>
      </c>
      <c r="S723" s="13">
        <f t="shared" si="57"/>
        <v>0.31126518505606554</v>
      </c>
      <c r="U723" s="13">
        <f t="shared" si="58"/>
        <v>0.17820525861988487</v>
      </c>
      <c r="V723" s="12"/>
      <c r="W723" s="13">
        <f t="shared" si="59"/>
        <v>0.12531111955892413</v>
      </c>
    </row>
    <row r="724" spans="15:23" x14ac:dyDescent="0.25">
      <c r="O724" s="1">
        <f t="shared" si="60"/>
        <v>785</v>
      </c>
      <c r="Q724" s="12">
        <f t="shared" si="56"/>
        <v>4.0076201937124976E-4</v>
      </c>
      <c r="S724" s="13">
        <f t="shared" si="57"/>
        <v>0.31459818520643107</v>
      </c>
      <c r="U724" s="13">
        <f t="shared" si="58"/>
        <v>0.18034290871706238</v>
      </c>
      <c r="V724" s="12"/>
      <c r="W724" s="13">
        <f t="shared" si="59"/>
        <v>0.12643685784423467</v>
      </c>
    </row>
    <row r="725" spans="15:23" x14ac:dyDescent="0.25">
      <c r="O725" s="1">
        <f t="shared" si="60"/>
        <v>784</v>
      </c>
      <c r="Q725" s="12">
        <f t="shared" si="56"/>
        <v>4.0556227438774499E-4</v>
      </c>
      <c r="S725" s="13">
        <f t="shared" si="57"/>
        <v>0.31796082311999208</v>
      </c>
      <c r="U725" s="13">
        <f t="shared" si="58"/>
        <v>0.18250302347448524</v>
      </c>
      <c r="V725" s="12"/>
      <c r="W725" s="13">
        <f t="shared" si="59"/>
        <v>0.12756935150349935</v>
      </c>
    </row>
    <row r="726" spans="15:23" x14ac:dyDescent="0.25">
      <c r="O726" s="1">
        <f t="shared" si="60"/>
        <v>783</v>
      </c>
      <c r="Q726" s="12">
        <f t="shared" si="56"/>
        <v>4.1041284534649623E-4</v>
      </c>
      <c r="S726" s="13">
        <f t="shared" si="57"/>
        <v>0.32135325790630653</v>
      </c>
      <c r="U726" s="13">
        <f t="shared" si="58"/>
        <v>0.18468578040592329</v>
      </c>
      <c r="V726" s="12"/>
      <c r="W726" s="13">
        <f t="shared" si="59"/>
        <v>0.12870858320428424</v>
      </c>
    </row>
    <row r="727" spans="15:23" x14ac:dyDescent="0.25">
      <c r="O727" s="1">
        <f t="shared" si="60"/>
        <v>782</v>
      </c>
      <c r="Q727" s="12">
        <f t="shared" si="56"/>
        <v>4.1531412735226753E-4</v>
      </c>
      <c r="S727" s="13">
        <f t="shared" si="57"/>
        <v>0.32477564758947319</v>
      </c>
      <c r="U727" s="13">
        <f t="shared" si="58"/>
        <v>0.18689135730852038</v>
      </c>
      <c r="V727" s="12"/>
      <c r="W727" s="13">
        <f t="shared" si="59"/>
        <v>0.12985453432503669</v>
      </c>
    </row>
    <row r="728" spans="15:23" x14ac:dyDescent="0.25">
      <c r="O728" s="1">
        <f t="shared" si="60"/>
        <v>781</v>
      </c>
      <c r="Q728" s="12">
        <f t="shared" si="56"/>
        <v>4.2026651608318869E-4</v>
      </c>
      <c r="S728" s="13">
        <f t="shared" si="57"/>
        <v>0.32822814906097036</v>
      </c>
      <c r="U728" s="13">
        <f t="shared" si="58"/>
        <v>0.18911993223743492</v>
      </c>
      <c r="V728" s="12"/>
      <c r="W728" s="13">
        <f t="shared" si="59"/>
        <v>0.13100718493455341</v>
      </c>
    </row>
    <row r="729" spans="15:23" x14ac:dyDescent="0.25">
      <c r="O729" s="1">
        <f t="shared" si="60"/>
        <v>780</v>
      </c>
      <c r="Q729" s="12">
        <f t="shared" si="56"/>
        <v>4.2527040773301413E-4</v>
      </c>
      <c r="S729" s="13">
        <f t="shared" si="57"/>
        <v>0.33171091803175101</v>
      </c>
      <c r="U729" s="13">
        <f t="shared" si="58"/>
        <v>0.19137168347985636</v>
      </c>
      <c r="V729" s="12"/>
      <c r="W729" s="13">
        <f t="shared" si="59"/>
        <v>0.13216651377133554</v>
      </c>
    </row>
    <row r="730" spans="15:23" x14ac:dyDescent="0.25">
      <c r="O730" s="1">
        <f t="shared" si="60"/>
        <v>779</v>
      </c>
      <c r="Q730" s="12">
        <f t="shared" si="56"/>
        <v>4.3032619895201168E-4</v>
      </c>
      <c r="S730" s="13">
        <f t="shared" si="57"/>
        <v>0.3352241089836171</v>
      </c>
      <c r="U730" s="13">
        <f t="shared" si="58"/>
        <v>0.19364678952840525</v>
      </c>
      <c r="V730" s="12"/>
      <c r="W730" s="13">
        <f t="shared" si="59"/>
        <v>0.13333249822284576</v>
      </c>
    </row>
    <row r="731" spans="15:23" x14ac:dyDescent="0.25">
      <c r="O731" s="1">
        <f t="shared" si="60"/>
        <v>778</v>
      </c>
      <c r="Q731" s="12">
        <f t="shared" si="56"/>
        <v>4.354342867864493E-4</v>
      </c>
      <c r="S731" s="13">
        <f t="shared" si="57"/>
        <v>0.33876787511985756</v>
      </c>
      <c r="U731" s="13">
        <f t="shared" si="58"/>
        <v>0.19594542905390219</v>
      </c>
      <c r="V731" s="12"/>
      <c r="W731" s="13">
        <f t="shared" si="59"/>
        <v>0.13450511430466597</v>
      </c>
    </row>
    <row r="732" spans="15:23" x14ac:dyDescent="0.25">
      <c r="O732" s="1">
        <f t="shared" si="60"/>
        <v>777</v>
      </c>
      <c r="Q732" s="12">
        <f t="shared" si="56"/>
        <v>4.4059506861665512E-4</v>
      </c>
      <c r="S732" s="13">
        <f t="shared" si="57"/>
        <v>0.34234236831514103</v>
      </c>
      <c r="U732" s="13">
        <f t="shared" si="58"/>
        <v>0.1982677808774948</v>
      </c>
      <c r="V732" s="12"/>
      <c r="W732" s="13">
        <f t="shared" si="59"/>
        <v>0.13568433663955795</v>
      </c>
    </row>
    <row r="733" spans="15:23" x14ac:dyDescent="0.25">
      <c r="O733" s="1">
        <f t="shared" si="60"/>
        <v>776</v>
      </c>
      <c r="Q733" s="12">
        <f t="shared" si="56"/>
        <v>4.4580894209366356E-4</v>
      </c>
      <c r="S733" s="13">
        <f t="shared" si="57"/>
        <v>0.3459477390646829</v>
      </c>
      <c r="U733" s="13">
        <f t="shared" si="58"/>
        <v>0.20061402394214861</v>
      </c>
      <c r="V733" s="12"/>
      <c r="W733" s="13">
        <f t="shared" si="59"/>
        <v>0.13687013843643958</v>
      </c>
    </row>
    <row r="734" spans="15:23" x14ac:dyDescent="0.25">
      <c r="O734" s="1">
        <f t="shared" si="60"/>
        <v>775</v>
      </c>
      <c r="Q734" s="12">
        <f t="shared" si="56"/>
        <v>4.5107630507438531E-4</v>
      </c>
      <c r="S734" s="13">
        <f t="shared" si="57"/>
        <v>0.34958413643264863</v>
      </c>
      <c r="U734" s="13">
        <f t="shared" si="58"/>
        <v>0.2029843372834734</v>
      </c>
      <c r="V734" s="12"/>
      <c r="W734" s="13">
        <f t="shared" si="59"/>
        <v>0.13806249146926755</v>
      </c>
    </row>
    <row r="735" spans="15:23" x14ac:dyDescent="0.25">
      <c r="O735" s="1">
        <f t="shared" si="60"/>
        <v>774</v>
      </c>
      <c r="Q735" s="12">
        <f t="shared" si="56"/>
        <v>4.5639755555532244E-4</v>
      </c>
      <c r="S735" s="13">
        <f t="shared" si="57"/>
        <v>0.35325170799981959</v>
      </c>
      <c r="U735" s="13">
        <f t="shared" si="58"/>
        <v>0.20537889999989509</v>
      </c>
      <c r="V735" s="12"/>
      <c r="W735" s="13">
        <f t="shared" si="59"/>
        <v>0.13926136605584205</v>
      </c>
    </row>
    <row r="736" spans="15:23" x14ac:dyDescent="0.25">
      <c r="O736" s="1">
        <f t="shared" si="60"/>
        <v>773</v>
      </c>
      <c r="Q736" s="12">
        <f t="shared" si="56"/>
        <v>4.6177309160479565E-4</v>
      </c>
      <c r="S736" s="13">
        <f t="shared" si="57"/>
        <v>0.35695059981050703</v>
      </c>
      <c r="U736" s="13">
        <f t="shared" si="58"/>
        <v>0.20779789122215805</v>
      </c>
      <c r="V736" s="12"/>
      <c r="W736" s="13">
        <f t="shared" si="59"/>
        <v>0.14046673103653384</v>
      </c>
    </row>
    <row r="737" spans="15:23" x14ac:dyDescent="0.25">
      <c r="O737" s="1">
        <f t="shared" si="60"/>
        <v>772</v>
      </c>
      <c r="Q737" s="12">
        <f t="shared" si="56"/>
        <v>4.6720331129367207E-4</v>
      </c>
      <c r="S737" s="13">
        <f t="shared" si="57"/>
        <v>0.36068095631871483</v>
      </c>
      <c r="U737" s="13">
        <f t="shared" si="58"/>
        <v>0.21024149008215243</v>
      </c>
      <c r="V737" s="12"/>
      <c r="W737" s="13">
        <f t="shared" si="59"/>
        <v>0.14167855375293953</v>
      </c>
    </row>
    <row r="738" spans="15:23" x14ac:dyDescent="0.25">
      <c r="O738" s="1">
        <f t="shared" si="60"/>
        <v>771</v>
      </c>
      <c r="Q738" s="12">
        <f t="shared" si="56"/>
        <v>4.7268861262456807E-4</v>
      </c>
      <c r="S738" s="13">
        <f t="shared" si="57"/>
        <v>0.36444292033354198</v>
      </c>
      <c r="U738" s="13">
        <f t="shared" si="58"/>
        <v>0.21270987568105562</v>
      </c>
      <c r="V738" s="12"/>
      <c r="W738" s="13">
        <f t="shared" si="59"/>
        <v>0.14289680002646679</v>
      </c>
    </row>
    <row r="739" spans="15:23" x14ac:dyDescent="0.25">
      <c r="O739" s="1">
        <f t="shared" si="60"/>
        <v>770</v>
      </c>
      <c r="Q739" s="12">
        <f t="shared" si="56"/>
        <v>4.7822939345951144E-4</v>
      </c>
      <c r="S739" s="13">
        <f t="shared" si="57"/>
        <v>0.36823663296382381</v>
      </c>
      <c r="U739" s="13">
        <f t="shared" si="58"/>
        <v>0.21520322705678013</v>
      </c>
      <c r="V739" s="12"/>
      <c r="W739" s="13">
        <f t="shared" si="59"/>
        <v>0.14412143413685599</v>
      </c>
    </row>
    <row r="740" spans="15:23" x14ac:dyDescent="0.25">
      <c r="O740" s="1">
        <f t="shared" si="60"/>
        <v>769</v>
      </c>
      <c r="Q740" s="12">
        <f t="shared" si="56"/>
        <v>4.8382605144607019E-4</v>
      </c>
      <c r="S740" s="13">
        <f t="shared" si="57"/>
        <v>0.372062233562028</v>
      </c>
      <c r="U740" s="13">
        <f t="shared" si="58"/>
        <v>0.2177217231507316</v>
      </c>
      <c r="V740" s="12"/>
      <c r="W740" s="13">
        <f t="shared" si="59"/>
        <v>0.14535241880064945</v>
      </c>
    </row>
    <row r="741" spans="15:23" x14ac:dyDescent="0.25">
      <c r="O741" s="1">
        <f t="shared" si="60"/>
        <v>768</v>
      </c>
      <c r="Q741" s="12">
        <f t="shared" si="56"/>
        <v>4.89478983941903E-4</v>
      </c>
      <c r="S741" s="13">
        <f t="shared" si="57"/>
        <v>0.37591985966738151</v>
      </c>
      <c r="U741" s="13">
        <f t="shared" si="58"/>
        <v>0.22026554277385635</v>
      </c>
      <c r="V741" s="12"/>
      <c r="W741" s="13">
        <f t="shared" si="59"/>
        <v>0.14658971514960556</v>
      </c>
    </row>
    <row r="742" spans="15:23" x14ac:dyDescent="0.25">
      <c r="O742" s="1">
        <f t="shared" si="60"/>
        <v>767</v>
      </c>
      <c r="Q742" s="12">
        <f t="shared" si="56"/>
        <v>4.9518858793769953E-4</v>
      </c>
      <c r="S742" s="13">
        <f t="shared" si="57"/>
        <v>0.37980964694821556</v>
      </c>
      <c r="U742" s="13">
        <f t="shared" si="58"/>
        <v>0.2228348645719648</v>
      </c>
      <c r="V742" s="12"/>
      <c r="W742" s="13">
        <f t="shared" si="59"/>
        <v>0.14783328270905874</v>
      </c>
    </row>
    <row r="743" spans="15:23" x14ac:dyDescent="0.25">
      <c r="O743" s="1">
        <f t="shared" si="60"/>
        <v>766</v>
      </c>
      <c r="Q743" s="12">
        <f t="shared" si="56"/>
        <v>5.0095525997855374E-4</v>
      </c>
      <c r="S743" s="13">
        <f t="shared" si="57"/>
        <v>0.38373172914357218</v>
      </c>
      <c r="U743" s="13">
        <f t="shared" si="58"/>
        <v>0.2254298669903492</v>
      </c>
      <c r="V743" s="12"/>
      <c r="W743" s="13">
        <f t="shared" si="59"/>
        <v>0.14908307937624807</v>
      </c>
    </row>
    <row r="744" spans="15:23" x14ac:dyDescent="0.25">
      <c r="O744" s="1">
        <f t="shared" si="60"/>
        <v>765</v>
      </c>
      <c r="Q744" s="12">
        <f t="shared" si="56"/>
        <v>5.0677939608370528E-4</v>
      </c>
      <c r="S744" s="13">
        <f t="shared" si="57"/>
        <v>0.38768623800403457</v>
      </c>
      <c r="U744" s="13">
        <f t="shared" si="58"/>
        <v>0.22805072823766737</v>
      </c>
      <c r="V744" s="12"/>
      <c r="W744" s="13">
        <f t="shared" si="59"/>
        <v>0.15033906139860659</v>
      </c>
    </row>
    <row r="745" spans="15:23" x14ac:dyDescent="0.25">
      <c r="O745" s="1">
        <f t="shared" si="60"/>
        <v>764</v>
      </c>
      <c r="Q745" s="12">
        <f t="shared" si="56"/>
        <v>5.1266139166463972E-4</v>
      </c>
      <c r="S745" s="13">
        <f t="shared" si="57"/>
        <v>0.39167330323178473</v>
      </c>
      <c r="U745" s="13">
        <f t="shared" si="58"/>
        <v>0.23069762624908788</v>
      </c>
      <c r="V745" s="12"/>
      <c r="W745" s="13">
        <f t="shared" si="59"/>
        <v>0.15160118335201819</v>
      </c>
    </row>
    <row r="746" spans="15:23" x14ac:dyDescent="0.25">
      <c r="O746" s="1">
        <f t="shared" si="60"/>
        <v>763</v>
      </c>
      <c r="Q746" s="12">
        <f t="shared" si="56"/>
        <v>5.1860164144154749E-4</v>
      </c>
      <c r="S746" s="13">
        <f t="shared" si="57"/>
        <v>0.39569305241990071</v>
      </c>
      <c r="U746" s="13">
        <f t="shared" si="58"/>
        <v>0.23337073864869637</v>
      </c>
      <c r="V746" s="12"/>
      <c r="W746" s="13">
        <f t="shared" si="59"/>
        <v>0.15286939811905434</v>
      </c>
    </row>
    <row r="747" spans="15:23" x14ac:dyDescent="0.25">
      <c r="O747" s="1">
        <f t="shared" si="60"/>
        <v>762</v>
      </c>
      <c r="Q747" s="12">
        <f t="shared" si="56"/>
        <v>5.2460053935809558E-4</v>
      </c>
      <c r="S747" s="13">
        <f t="shared" si="57"/>
        <v>0.3997456109908688</v>
      </c>
      <c r="U747" s="13">
        <f t="shared" si="58"/>
        <v>0.23607024271114302</v>
      </c>
      <c r="V747" s="12"/>
      <c r="W747" s="13">
        <f t="shared" si="59"/>
        <v>0.15414365686718609</v>
      </c>
    </row>
    <row r="748" spans="15:23" x14ac:dyDescent="0.25">
      <c r="O748" s="1">
        <f t="shared" si="60"/>
        <v>761</v>
      </c>
      <c r="Q748" s="12">
        <f t="shared" si="56"/>
        <v>5.3065847849455749E-4</v>
      </c>
      <c r="S748" s="13">
        <f t="shared" si="57"/>
        <v>0.40383110213435824</v>
      </c>
      <c r="U748" s="13">
        <f t="shared" si="58"/>
        <v>0.23879631532255088</v>
      </c>
      <c r="V748" s="12"/>
      <c r="W748" s="13">
        <f t="shared" si="59"/>
        <v>0.15542390902699768</v>
      </c>
    </row>
    <row r="749" spans="15:23" x14ac:dyDescent="0.25">
      <c r="O749" s="1">
        <f t="shared" si="60"/>
        <v>760</v>
      </c>
      <c r="Q749" s="12">
        <f t="shared" si="56"/>
        <v>5.3677585097919409E-4</v>
      </c>
      <c r="S749" s="13">
        <f t="shared" si="57"/>
        <v>0.40794964674418749</v>
      </c>
      <c r="U749" s="13">
        <f t="shared" si="58"/>
        <v>0.24154913294063735</v>
      </c>
      <c r="V749" s="12"/>
      <c r="W749" s="13">
        <f t="shared" si="59"/>
        <v>0.15671010227037974</v>
      </c>
    </row>
    <row r="750" spans="15:23" x14ac:dyDescent="0.25">
      <c r="O750" s="1">
        <f t="shared" si="60"/>
        <v>759</v>
      </c>
      <c r="Q750" s="12">
        <f t="shared" si="56"/>
        <v>5.4295304789795382E-4</v>
      </c>
      <c r="S750" s="13">
        <f t="shared" si="57"/>
        <v>0.41210136335454695</v>
      </c>
      <c r="U750" s="13">
        <f t="shared" si="58"/>
        <v>0.24432887155407923</v>
      </c>
      <c r="V750" s="12"/>
      <c r="W750" s="13">
        <f t="shared" si="59"/>
        <v>0.15800218248873468</v>
      </c>
    </row>
    <row r="751" spans="15:23" x14ac:dyDescent="0.25">
      <c r="O751" s="1">
        <f t="shared" si="60"/>
        <v>758</v>
      </c>
      <c r="Q751" s="12">
        <f t="shared" si="56"/>
        <v>5.4919045920244437E-4</v>
      </c>
      <c r="S751" s="13">
        <f t="shared" si="57"/>
        <v>0.41628636807545283</v>
      </c>
      <c r="U751" s="13">
        <f t="shared" si="58"/>
        <v>0.24713570664109996</v>
      </c>
      <c r="V751" s="12"/>
      <c r="W751" s="13">
        <f t="shared" si="59"/>
        <v>0.1593000937711905</v>
      </c>
    </row>
    <row r="752" spans="15:23" x14ac:dyDescent="0.25">
      <c r="O752" s="1">
        <f t="shared" si="60"/>
        <v>757</v>
      </c>
      <c r="Q752" s="12">
        <f t="shared" si="56"/>
        <v>5.554884736161292E-4</v>
      </c>
      <c r="S752" s="13">
        <f t="shared" si="57"/>
        <v>0.42050477452740981</v>
      </c>
      <c r="U752" s="13">
        <f t="shared" si="58"/>
        <v>0.24996981312725813</v>
      </c>
      <c r="V752" s="12"/>
      <c r="W752" s="13">
        <f t="shared" si="59"/>
        <v>0.16060377838282169</v>
      </c>
    </row>
    <row r="753" spans="15:23" x14ac:dyDescent="0.25">
      <c r="O753" s="1">
        <f t="shared" si="60"/>
        <v>756</v>
      </c>
      <c r="Q753" s="12">
        <f t="shared" si="56"/>
        <v>5.6184747853879624E-4</v>
      </c>
      <c r="S753" s="13">
        <f t="shared" si="57"/>
        <v>0.42475669377532993</v>
      </c>
      <c r="U753" s="13">
        <f t="shared" si="58"/>
        <v>0.25283136534245831</v>
      </c>
      <c r="V753" s="12"/>
      <c r="W753" s="13">
        <f t="shared" si="59"/>
        <v>0.16191317674290212</v>
      </c>
    </row>
    <row r="754" spans="15:23" x14ac:dyDescent="0.25">
      <c r="O754" s="1">
        <f t="shared" si="60"/>
        <v>755</v>
      </c>
      <c r="Q754" s="12">
        <f t="shared" si="56"/>
        <v>5.6826785994925516E-4</v>
      </c>
      <c r="S754" s="13">
        <f t="shared" si="57"/>
        <v>0.42904223426168764</v>
      </c>
      <c r="U754" s="13">
        <f t="shared" si="58"/>
        <v>0.25572053697716485</v>
      </c>
      <c r="V754" s="12"/>
      <c r="W754" s="13">
        <f t="shared" si="59"/>
        <v>0.16322822740318896</v>
      </c>
    </row>
    <row r="755" spans="15:23" x14ac:dyDescent="0.25">
      <c r="O755" s="1">
        <f t="shared" si="60"/>
        <v>754</v>
      </c>
      <c r="Q755" s="12">
        <f t="shared" si="56"/>
        <v>5.7475000230619968E-4</v>
      </c>
      <c r="S755" s="13">
        <f t="shared" si="57"/>
        <v>0.43336150173887455</v>
      </c>
      <c r="U755" s="13">
        <f t="shared" si="58"/>
        <v>0.25863750103778987</v>
      </c>
      <c r="V755" s="12"/>
      <c r="W755" s="13">
        <f t="shared" si="59"/>
        <v>0.16454886702623095</v>
      </c>
    </row>
    <row r="756" spans="15:23" x14ac:dyDescent="0.25">
      <c r="O756" s="1">
        <f t="shared" si="60"/>
        <v>753</v>
      </c>
      <c r="Q756" s="12">
        <f t="shared" si="56"/>
        <v>5.8129428844732906E-4</v>
      </c>
      <c r="S756" s="13">
        <f t="shared" si="57"/>
        <v>0.43771459920083877</v>
      </c>
      <c r="U756" s="13">
        <f t="shared" si="58"/>
        <v>0.26158242980129809</v>
      </c>
      <c r="V756" s="12"/>
      <c r="W756" s="13">
        <f t="shared" si="59"/>
        <v>0.16587503036374032</v>
      </c>
    </row>
    <row r="757" spans="15:23" x14ac:dyDescent="0.25">
      <c r="O757" s="1">
        <f t="shared" si="60"/>
        <v>752</v>
      </c>
      <c r="Q757" s="12">
        <f t="shared" si="56"/>
        <v>5.879010994865975E-4</v>
      </c>
      <c r="S757" s="13">
        <f t="shared" si="57"/>
        <v>0.44210162681392134</v>
      </c>
      <c r="U757" s="13">
        <f t="shared" si="58"/>
        <v>0.26455549476896889</v>
      </c>
      <c r="V757" s="12"/>
      <c r="W757" s="13">
        <f t="shared" si="59"/>
        <v>0.16720665023500209</v>
      </c>
    </row>
    <row r="758" spans="15:23" x14ac:dyDescent="0.25">
      <c r="O758" s="1">
        <f t="shared" si="60"/>
        <v>751</v>
      </c>
      <c r="Q758" s="12">
        <f t="shared" si="56"/>
        <v>5.9457081470968437E-4</v>
      </c>
      <c r="S758" s="13">
        <f t="shared" si="57"/>
        <v>0.44652268184697297</v>
      </c>
      <c r="U758" s="13">
        <f t="shared" si="58"/>
        <v>0.26755686661935796</v>
      </c>
      <c r="V758" s="12"/>
      <c r="W758" s="13">
        <f t="shared" si="59"/>
        <v>0.16854365750535968</v>
      </c>
    </row>
    <row r="759" spans="15:23" x14ac:dyDescent="0.25">
      <c r="O759" s="1">
        <f t="shared" si="60"/>
        <v>750</v>
      </c>
      <c r="Q759" s="12">
        <f t="shared" si="56"/>
        <v>6.0130381146755664E-4</v>
      </c>
      <c r="S759" s="13">
        <f t="shared" si="57"/>
        <v>0.45097785860066747</v>
      </c>
      <c r="U759" s="13">
        <f t="shared" si="58"/>
        <v>0.2705867151604005</v>
      </c>
      <c r="V759" s="12"/>
      <c r="W759" s="13">
        <f t="shared" si="59"/>
        <v>0.16988598106475233</v>
      </c>
    </row>
    <row r="760" spans="15:23" x14ac:dyDescent="0.25">
      <c r="O760" s="1">
        <f t="shared" si="60"/>
        <v>749</v>
      </c>
      <c r="Q760" s="12">
        <f t="shared" si="56"/>
        <v>6.0810046506824843E-4</v>
      </c>
      <c r="S760" s="13">
        <f t="shared" si="57"/>
        <v>0.45546724833611807</v>
      </c>
      <c r="U760" s="13">
        <f t="shared" si="58"/>
        <v>0.27364520928071179</v>
      </c>
      <c r="V760" s="12"/>
      <c r="W760" s="13">
        <f t="shared" si="59"/>
        <v>0.17123354780635175</v>
      </c>
    </row>
    <row r="761" spans="15:23" x14ac:dyDescent="0.25">
      <c r="O761" s="1">
        <f t="shared" si="60"/>
        <v>748</v>
      </c>
      <c r="Q761" s="12">
        <f t="shared" si="56"/>
        <v>6.1496114866669725E-4</v>
      </c>
      <c r="S761" s="13">
        <f t="shared" si="57"/>
        <v>0.45999093920268952</v>
      </c>
      <c r="U761" s="13">
        <f t="shared" si="58"/>
        <v>0.27673251690001377</v>
      </c>
      <c r="V761" s="12"/>
      <c r="W761" s="13">
        <f t="shared" si="59"/>
        <v>0.17258628260526471</v>
      </c>
    </row>
    <row r="762" spans="15:23" x14ac:dyDescent="0.25">
      <c r="O762" s="1">
        <f t="shared" si="60"/>
        <v>747</v>
      </c>
      <c r="Q762" s="12">
        <f t="shared" si="56"/>
        <v>6.2188623315275924E-4</v>
      </c>
      <c r="S762" s="13">
        <f t="shared" si="57"/>
        <v>0.46454901616511113</v>
      </c>
      <c r="U762" s="13">
        <f t="shared" si="58"/>
        <v>0.27984880491874164</v>
      </c>
      <c r="V762" s="12"/>
      <c r="W762" s="13">
        <f t="shared" si="59"/>
        <v>0.17394410829734935</v>
      </c>
    </row>
    <row r="763" spans="15:23" x14ac:dyDescent="0.25">
      <c r="O763" s="1">
        <f t="shared" si="60"/>
        <v>746</v>
      </c>
      <c r="Q763" s="12">
        <f t="shared" si="56"/>
        <v>6.2887608703727626E-4</v>
      </c>
      <c r="S763" s="13">
        <f t="shared" si="57"/>
        <v>0.46914156092980808</v>
      </c>
      <c r="U763" s="13">
        <f t="shared" si="58"/>
        <v>0.2829942391667743</v>
      </c>
      <c r="V763" s="12"/>
      <c r="W763" s="13">
        <f t="shared" si="59"/>
        <v>0.17530694565812058</v>
      </c>
    </row>
    <row r="764" spans="15:23" x14ac:dyDescent="0.25">
      <c r="O764" s="1">
        <f t="shared" si="60"/>
        <v>745</v>
      </c>
      <c r="Q764" s="12">
        <f t="shared" si="56"/>
        <v>6.3593107633626007E-4</v>
      </c>
      <c r="S764" s="13">
        <f t="shared" si="57"/>
        <v>0.47376865187051376</v>
      </c>
      <c r="U764" s="13">
        <f t="shared" si="58"/>
        <v>0.28616898435131705</v>
      </c>
      <c r="V764" s="12"/>
      <c r="W764" s="13">
        <f t="shared" si="59"/>
        <v>0.17667471338177643</v>
      </c>
    </row>
    <row r="765" spans="15:23" x14ac:dyDescent="0.25">
      <c r="O765" s="1">
        <f t="shared" si="60"/>
        <v>744</v>
      </c>
      <c r="Q765" s="12">
        <f t="shared" si="56"/>
        <v>6.430515644531877E-4</v>
      </c>
      <c r="S765" s="13">
        <f t="shared" si="57"/>
        <v>0.47843036395317162</v>
      </c>
      <c r="U765" s="13">
        <f t="shared" si="58"/>
        <v>0.28937320400393446</v>
      </c>
      <c r="V765" s="12"/>
      <c r="W765" s="13">
        <f t="shared" si="59"/>
        <v>0.17804732806035606</v>
      </c>
    </row>
    <row r="766" spans="15:23" x14ac:dyDescent="0.25">
      <c r="O766" s="1">
        <f t="shared" si="60"/>
        <v>743</v>
      </c>
      <c r="Q766" s="12">
        <f t="shared" si="56"/>
        <v>6.5023791205928673E-4</v>
      </c>
      <c r="S766" s="13">
        <f t="shared" si="57"/>
        <v>0.48312676866005005</v>
      </c>
      <c r="U766" s="13">
        <f t="shared" si="58"/>
        <v>0.292607060426679</v>
      </c>
      <c r="V766" s="12"/>
      <c r="W766" s="13">
        <f t="shared" si="59"/>
        <v>0.17942470416300785</v>
      </c>
    </row>
    <row r="767" spans="15:23" x14ac:dyDescent="0.25">
      <c r="O767" s="1">
        <f t="shared" si="60"/>
        <v>742</v>
      </c>
      <c r="Q767" s="12">
        <f t="shared" si="56"/>
        <v>6.5749047697196957E-4</v>
      </c>
      <c r="S767" s="13">
        <f t="shared" si="57"/>
        <v>0.48785793391320142</v>
      </c>
      <c r="U767" s="13">
        <f t="shared" si="58"/>
        <v>0.29587071463738629</v>
      </c>
      <c r="V767" s="12"/>
      <c r="W767" s="13">
        <f t="shared" si="59"/>
        <v>0.18080675401542493</v>
      </c>
    </row>
    <row r="768" spans="15:23" x14ac:dyDescent="0.25">
      <c r="O768" s="1">
        <f t="shared" si="60"/>
        <v>741</v>
      </c>
      <c r="Q768" s="12">
        <f t="shared" si="56"/>
        <v>6.648096140312457E-4</v>
      </c>
      <c r="S768" s="13">
        <f t="shared" si="57"/>
        <v>0.49262392399715305</v>
      </c>
      <c r="U768" s="13">
        <f t="shared" si="58"/>
        <v>0.29916432631406059</v>
      </c>
      <c r="V768" s="12"/>
      <c r="W768" s="13">
        <f t="shared" si="59"/>
        <v>0.18219338777941396</v>
      </c>
    </row>
    <row r="769" spans="15:23" x14ac:dyDescent="0.25">
      <c r="O769" s="1">
        <f t="shared" si="60"/>
        <v>740</v>
      </c>
      <c r="Q769" s="12">
        <f t="shared" si="56"/>
        <v>6.7219567497420717E-4</v>
      </c>
      <c r="S769" s="13">
        <f t="shared" si="57"/>
        <v>0.49742479948091328</v>
      </c>
      <c r="U769" s="13">
        <f t="shared" si="58"/>
        <v>0.30248805373839321</v>
      </c>
      <c r="V769" s="12"/>
      <c r="W769" s="13">
        <f t="shared" si="59"/>
        <v>0.18358451343263568</v>
      </c>
    </row>
    <row r="770" spans="15:23" x14ac:dyDescent="0.25">
      <c r="O770" s="1">
        <f t="shared" si="60"/>
        <v>739</v>
      </c>
      <c r="Q770" s="12">
        <f t="shared" si="56"/>
        <v>6.7964900830754351E-4</v>
      </c>
      <c r="S770" s="13">
        <f t="shared" si="57"/>
        <v>0.50226061713927461</v>
      </c>
      <c r="U770" s="13">
        <f t="shared" si="58"/>
        <v>0.30584205373839457</v>
      </c>
      <c r="V770" s="12"/>
      <c r="W770" s="13">
        <f t="shared" si="59"/>
        <v>0.18498003674851798</v>
      </c>
    </row>
    <row r="771" spans="15:23" x14ac:dyDescent="0.25">
      <c r="O771" s="1">
        <f t="shared" si="60"/>
        <v>738</v>
      </c>
      <c r="Q771" s="12">
        <f t="shared" si="56"/>
        <v>6.8716995917805432E-4</v>
      </c>
      <c r="S771" s="13">
        <f t="shared" si="57"/>
        <v>0.50713142987340409</v>
      </c>
      <c r="U771" s="13">
        <f t="shared" si="58"/>
        <v>0.30922648163012445</v>
      </c>
      <c r="V771" s="12"/>
      <c r="W771" s="13">
        <f t="shared" si="59"/>
        <v>0.18637986127634715</v>
      </c>
    </row>
    <row r="772" spans="15:23" x14ac:dyDescent="0.25">
      <c r="O772" s="1">
        <f t="shared" si="60"/>
        <v>737</v>
      </c>
      <c r="Q772" s="12">
        <f t="shared" si="56"/>
        <v>6.9475886924119754E-4</v>
      </c>
      <c r="S772" s="13">
        <f t="shared" si="57"/>
        <v>0.51203728663076253</v>
      </c>
      <c r="U772" s="13">
        <f t="shared" si="58"/>
        <v>0.3126414911585389</v>
      </c>
      <c r="V772" s="12"/>
      <c r="W772" s="13">
        <f t="shared" si="59"/>
        <v>0.18778388832155896</v>
      </c>
    </row>
    <row r="773" spans="15:23" x14ac:dyDescent="0.25">
      <c r="O773" s="1">
        <f t="shared" si="60"/>
        <v>736</v>
      </c>
      <c r="Q773" s="12">
        <f t="shared" si="56"/>
        <v>7.0241607652760563E-4</v>
      </c>
      <c r="S773" s="13">
        <f t="shared" si="57"/>
        <v>0.51697823232431772</v>
      </c>
      <c r="U773" s="13">
        <f t="shared" si="58"/>
        <v>0.31608723443742254</v>
      </c>
      <c r="V773" s="12"/>
      <c r="W773" s="13">
        <f t="shared" si="59"/>
        <v>0.18919201692622614</v>
      </c>
    </row>
    <row r="774" spans="15:23" x14ac:dyDescent="0.25">
      <c r="O774" s="1">
        <f t="shared" si="60"/>
        <v>735</v>
      </c>
      <c r="Q774" s="12">
        <f t="shared" si="56"/>
        <v>7.1014191530765613E-4</v>
      </c>
      <c r="S774" s="13">
        <f t="shared" si="57"/>
        <v>0.52195430775112728</v>
      </c>
      <c r="U774" s="13">
        <f t="shared" si="58"/>
        <v>0.31956386188844527</v>
      </c>
      <c r="V774" s="12"/>
      <c r="W774" s="13">
        <f t="shared" si="59"/>
        <v>0.19060414384977686</v>
      </c>
    </row>
    <row r="775" spans="15:23" x14ac:dyDescent="0.25">
      <c r="O775" s="1">
        <f t="shared" si="60"/>
        <v>734</v>
      </c>
      <c r="Q775" s="12">
        <f t="shared" si="56"/>
        <v>7.1793671595394345E-4</v>
      </c>
      <c r="S775" s="13">
        <f t="shared" si="57"/>
        <v>0.52696554951019448</v>
      </c>
      <c r="U775" s="13">
        <f t="shared" si="58"/>
        <v>0.32307152217927454</v>
      </c>
      <c r="V775" s="12"/>
      <c r="W775" s="13">
        <f t="shared" si="59"/>
        <v>0.19202016354991788</v>
      </c>
    </row>
    <row r="776" spans="15:23" x14ac:dyDescent="0.25">
      <c r="O776" s="1">
        <f t="shared" si="60"/>
        <v>733</v>
      </c>
      <c r="Q776" s="12">
        <f t="shared" si="56"/>
        <v>7.2580080480181164E-4</v>
      </c>
      <c r="S776" s="13">
        <f t="shared" si="57"/>
        <v>0.53201198991972798</v>
      </c>
      <c r="U776" s="13">
        <f t="shared" si="58"/>
        <v>0.32661036216081524</v>
      </c>
      <c r="V776" s="12"/>
      <c r="W776" s="13">
        <f t="shared" si="59"/>
        <v>0.19343996816381792</v>
      </c>
    </row>
    <row r="777" spans="15:23" x14ac:dyDescent="0.25">
      <c r="O777" s="1">
        <f t="shared" si="60"/>
        <v>732</v>
      </c>
      <c r="Q777" s="12">
        <f t="shared" si="56"/>
        <v>7.3373450400782364E-4</v>
      </c>
      <c r="S777" s="13">
        <f t="shared" si="57"/>
        <v>0.5370936569337269</v>
      </c>
      <c r="U777" s="13">
        <f t="shared" si="58"/>
        <v>0.33018052680352061</v>
      </c>
      <c r="V777" s="12"/>
      <c r="W777" s="13">
        <f t="shared" si="59"/>
        <v>0.19486344748953069</v>
      </c>
    </row>
    <row r="778" spans="15:23" x14ac:dyDescent="0.25">
      <c r="O778" s="1">
        <f t="shared" si="60"/>
        <v>731</v>
      </c>
      <c r="Q778" s="12">
        <f t="shared" ref="Q778:Q841" si="61">_xlfn.LOGNORM.DIST(O778,$D$25,$D$26,FALSE)</f>
        <v>7.4173813140619434E-4</v>
      </c>
      <c r="S778" s="13">
        <f t="shared" ref="S778:S841" si="62">IF(O778&gt;$D$6,O778*Q778,0)</f>
        <v>0.54221057405792805</v>
      </c>
      <c r="U778" s="13">
        <f t="shared" ref="U778:U841" si="63">IF(O778&gt;$D$6,$D$6*Q778,0)</f>
        <v>0.33378215913278747</v>
      </c>
      <c r="V778" s="12"/>
      <c r="W778" s="13">
        <f t="shared" ref="W778:W841" si="64">(S778-U778)*EXP(-$D$9*$D$7)</f>
        <v>0.19629048896767928</v>
      </c>
    </row>
    <row r="779" spans="15:23" x14ac:dyDescent="0.25">
      <c r="O779" s="1">
        <f t="shared" ref="O779:O842" si="65">O778-1</f>
        <v>730</v>
      </c>
      <c r="Q779" s="12">
        <f t="shared" si="61"/>
        <v>7.4981200036319578E-4</v>
      </c>
      <c r="S779" s="13">
        <f t="shared" si="62"/>
        <v>0.54736276026513297</v>
      </c>
      <c r="U779" s="13">
        <f t="shared" si="63"/>
        <v>0.33741540016343813</v>
      </c>
      <c r="V779" s="12"/>
      <c r="W779" s="13">
        <f t="shared" si="64"/>
        <v>0.19772097766341695</v>
      </c>
    </row>
    <row r="780" spans="15:23" x14ac:dyDescent="0.25">
      <c r="O780" s="1">
        <f t="shared" si="65"/>
        <v>729</v>
      </c>
      <c r="Q780" s="12">
        <f t="shared" si="61"/>
        <v>7.5795641962954179E-4</v>
      </c>
      <c r="S780" s="13">
        <f t="shared" si="62"/>
        <v>0.55255022990993596</v>
      </c>
      <c r="U780" s="13">
        <f t="shared" si="63"/>
        <v>0.34108038883329378</v>
      </c>
      <c r="V780" s="12"/>
      <c r="W780" s="13">
        <f t="shared" si="64"/>
        <v>0.19915479624867913</v>
      </c>
    </row>
    <row r="781" spans="15:23" x14ac:dyDescent="0.25">
      <c r="O781" s="1">
        <f t="shared" si="65"/>
        <v>728</v>
      </c>
      <c r="Q781" s="12">
        <f t="shared" si="61"/>
        <v>7.6617169319068265E-4</v>
      </c>
      <c r="S781" s="13">
        <f t="shared" si="62"/>
        <v>0.55777299264281699</v>
      </c>
      <c r="U781" s="13">
        <f t="shared" si="63"/>
        <v>0.34477726193580721</v>
      </c>
      <c r="V781" s="12"/>
      <c r="W781" s="13">
        <f t="shared" si="64"/>
        <v>0.2005918249847233</v>
      </c>
    </row>
    <row r="782" spans="15:23" x14ac:dyDescent="0.25">
      <c r="O782" s="1">
        <f t="shared" si="65"/>
        <v>727</v>
      </c>
      <c r="Q782" s="12">
        <f t="shared" si="61"/>
        <v>7.7445812011508997E-4</v>
      </c>
      <c r="S782" s="13">
        <f t="shared" si="62"/>
        <v>0.56303105332367043</v>
      </c>
      <c r="U782" s="13">
        <f t="shared" si="63"/>
        <v>0.34850615405179047</v>
      </c>
      <c r="V782" s="12"/>
      <c r="W782" s="13">
        <f t="shared" si="64"/>
        <v>0.20203194170498998</v>
      </c>
    </row>
    <row r="783" spans="15:23" x14ac:dyDescent="0.25">
      <c r="O783" s="1">
        <f t="shared" si="65"/>
        <v>726</v>
      </c>
      <c r="Q783" s="12">
        <f t="shared" si="61"/>
        <v>7.8281599440048022E-4</v>
      </c>
      <c r="S783" s="13">
        <f t="shared" si="62"/>
        <v>0.56832441193474859</v>
      </c>
      <c r="U783" s="13">
        <f t="shared" si="63"/>
        <v>0.35226719748021612</v>
      </c>
      <c r="V783" s="12"/>
      <c r="W783" s="13">
        <f t="shared" si="64"/>
        <v>0.20347502179828478</v>
      </c>
    </row>
    <row r="784" spans="15:23" x14ac:dyDescent="0.25">
      <c r="O784" s="1">
        <f t="shared" si="65"/>
        <v>725</v>
      </c>
      <c r="Q784" s="12">
        <f t="shared" si="61"/>
        <v>7.9124560481797326E-4</v>
      </c>
      <c r="S784" s="13">
        <f t="shared" si="62"/>
        <v>0.57365306349303058</v>
      </c>
      <c r="U784" s="13">
        <f t="shared" si="63"/>
        <v>0.35606052216808798</v>
      </c>
      <c r="V784" s="12"/>
      <c r="W784" s="13">
        <f t="shared" si="64"/>
        <v>0.20492093819229593</v>
      </c>
    </row>
    <row r="785" spans="15:23" x14ac:dyDescent="0.25">
      <c r="O785" s="1">
        <f t="shared" si="65"/>
        <v>724</v>
      </c>
      <c r="Q785" s="12">
        <f t="shared" si="61"/>
        <v>7.9974723475423023E-4</v>
      </c>
      <c r="S785" s="13">
        <f t="shared" si="62"/>
        <v>0.57901699796206263</v>
      </c>
      <c r="U785" s="13">
        <f t="shared" si="63"/>
        <v>0.35988625563940363</v>
      </c>
      <c r="V785" s="12"/>
      <c r="W785" s="13">
        <f t="shared" si="64"/>
        <v>0.20636956133746914</v>
      </c>
    </row>
    <row r="786" spans="15:23" x14ac:dyDescent="0.25">
      <c r="O786" s="1">
        <f t="shared" si="65"/>
        <v>723</v>
      </c>
      <c r="Q786" s="12">
        <f t="shared" si="61"/>
        <v>8.0832116205147952E-4</v>
      </c>
      <c r="S786" s="13">
        <f t="shared" si="62"/>
        <v>0.58441620016321971</v>
      </c>
      <c r="U786" s="13">
        <f t="shared" si="63"/>
        <v>0.36374452292316578</v>
      </c>
      <c r="V786" s="12"/>
      <c r="W786" s="13">
        <f t="shared" si="64"/>
        <v>0.20782075919123327</v>
      </c>
    </row>
    <row r="787" spans="15:23" x14ac:dyDescent="0.25">
      <c r="O787" s="1">
        <f t="shared" si="65"/>
        <v>722</v>
      </c>
      <c r="Q787" s="12">
        <f t="shared" si="61"/>
        <v>8.1696765884557232E-4</v>
      </c>
      <c r="S787" s="13">
        <f t="shared" si="62"/>
        <v>0.58985064968650325</v>
      </c>
      <c r="U787" s="13">
        <f t="shared" si="63"/>
        <v>0.36763544648050756</v>
      </c>
      <c r="V787" s="12"/>
      <c r="W787" s="13">
        <f t="shared" si="64"/>
        <v>0.20927439720262359</v>
      </c>
    </row>
    <row r="788" spans="15:23" x14ac:dyDescent="0.25">
      <c r="O788" s="1">
        <f t="shared" si="65"/>
        <v>721</v>
      </c>
      <c r="Q788" s="12">
        <f t="shared" si="61"/>
        <v>8.2568699140188394E-4</v>
      </c>
      <c r="S788" s="13">
        <f t="shared" si="62"/>
        <v>0.59532032080075836</v>
      </c>
      <c r="U788" s="13">
        <f t="shared" si="63"/>
        <v>0.37155914613084778</v>
      </c>
      <c r="V788" s="12"/>
      <c r="W788" s="13">
        <f t="shared" si="64"/>
        <v>0.21073033829727195</v>
      </c>
    </row>
    <row r="789" spans="15:23" x14ac:dyDescent="0.25">
      <c r="O789" s="1">
        <f t="shared" si="65"/>
        <v>720</v>
      </c>
      <c r="Q789" s="12">
        <f t="shared" si="61"/>
        <v>8.3447941994927138E-4</v>
      </c>
      <c r="S789" s="13">
        <f t="shared" si="62"/>
        <v>0.60082518236347537</v>
      </c>
      <c r="U789" s="13">
        <f t="shared" si="63"/>
        <v>0.37551573897717211</v>
      </c>
      <c r="V789" s="12"/>
      <c r="W789" s="13">
        <f t="shared" si="64"/>
        <v>0.21218844286282859</v>
      </c>
    </row>
    <row r="790" spans="15:23" x14ac:dyDescent="0.25">
      <c r="O790" s="1">
        <f t="shared" si="65"/>
        <v>719</v>
      </c>
      <c r="Q790" s="12">
        <f t="shared" si="61"/>
        <v>8.4334519851188945E-4</v>
      </c>
      <c r="S790" s="13">
        <f t="shared" si="62"/>
        <v>0.60636519773004849</v>
      </c>
      <c r="U790" s="13">
        <f t="shared" si="63"/>
        <v>0.37950533933035024</v>
      </c>
      <c r="V790" s="12"/>
      <c r="W790" s="13">
        <f t="shared" si="64"/>
        <v>0.21364856873478053</v>
      </c>
    </row>
    <row r="791" spans="15:23" x14ac:dyDescent="0.25">
      <c r="O791" s="1">
        <f t="shared" si="65"/>
        <v>718</v>
      </c>
      <c r="Q791" s="12">
        <f t="shared" si="61"/>
        <v>8.5228457473902626E-4</v>
      </c>
      <c r="S791" s="13">
        <f t="shared" si="62"/>
        <v>0.61194032466262083</v>
      </c>
      <c r="U791" s="13">
        <f t="shared" si="63"/>
        <v>0.38352805863256184</v>
      </c>
      <c r="V791" s="12"/>
      <c r="W791" s="13">
        <f t="shared" si="64"/>
        <v>0.21511057118271984</v>
      </c>
    </row>
    <row r="792" spans="15:23" x14ac:dyDescent="0.25">
      <c r="O792" s="1">
        <f t="shared" si="65"/>
        <v>717</v>
      </c>
      <c r="Q792" s="12">
        <f t="shared" si="61"/>
        <v>8.6129778973285519E-4</v>
      </c>
      <c r="S792" s="13">
        <f t="shared" si="62"/>
        <v>0.61755051523845716</v>
      </c>
      <c r="U792" s="13">
        <f t="shared" si="63"/>
        <v>0.38758400537978482</v>
      </c>
      <c r="V792" s="12"/>
      <c r="W792" s="13">
        <f t="shared" si="64"/>
        <v>0.2165743028970501</v>
      </c>
    </row>
    <row r="793" spans="15:23" x14ac:dyDescent="0.25">
      <c r="O793" s="1">
        <f t="shared" si="65"/>
        <v>716</v>
      </c>
      <c r="Q793" s="12">
        <f t="shared" si="61"/>
        <v>8.7038507787418876E-4</v>
      </c>
      <c r="S793" s="13">
        <f t="shared" si="62"/>
        <v>0.6231957157579191</v>
      </c>
      <c r="U793" s="13">
        <f t="shared" si="63"/>
        <v>0.39167328504338494</v>
      </c>
      <c r="V793" s="12"/>
      <c r="W793" s="13">
        <f t="shared" si="64"/>
        <v>0.21803961397616481</v>
      </c>
    </row>
    <row r="794" spans="15:23" x14ac:dyDescent="0.25">
      <c r="O794" s="1">
        <f t="shared" si="65"/>
        <v>715</v>
      </c>
      <c r="Q794" s="12">
        <f t="shared" si="61"/>
        <v>8.7954666664618404E-4</v>
      </c>
      <c r="S794" s="13">
        <f t="shared" si="62"/>
        <v>0.62887586665202155</v>
      </c>
      <c r="U794" s="13">
        <f t="shared" si="63"/>
        <v>0.3957959999907828</v>
      </c>
      <c r="V794" s="12"/>
      <c r="W794" s="13">
        <f t="shared" si="64"/>
        <v>0.21950635191410039</v>
      </c>
    </row>
    <row r="795" spans="15:23" x14ac:dyDescent="0.25">
      <c r="O795" s="1">
        <f t="shared" si="65"/>
        <v>714</v>
      </c>
      <c r="Q795" s="12">
        <f t="shared" si="61"/>
        <v>8.887827764560072E-4</v>
      </c>
      <c r="S795" s="13">
        <f t="shared" si="62"/>
        <v>0.63459090238958915</v>
      </c>
      <c r="U795" s="13">
        <f t="shared" si="63"/>
        <v>0.39995224940520324</v>
      </c>
      <c r="V795" s="12"/>
      <c r="W795" s="13">
        <f t="shared" si="64"/>
        <v>0.22097436158867659</v>
      </c>
    </row>
    <row r="796" spans="15:23" x14ac:dyDescent="0.25">
      <c r="O796" s="1">
        <f t="shared" si="65"/>
        <v>713</v>
      </c>
      <c r="Q796" s="12">
        <f t="shared" si="61"/>
        <v>8.9809362045452411E-4</v>
      </c>
      <c r="S796" s="13">
        <f t="shared" si="62"/>
        <v>0.64034075138407565</v>
      </c>
      <c r="U796" s="13">
        <f t="shared" si="63"/>
        <v>0.40414212920453585</v>
      </c>
      <c r="V796" s="12"/>
      <c r="W796" s="13">
        <f t="shared" si="64"/>
        <v>0.22244348525015648</v>
      </c>
    </row>
    <row r="797" spans="15:23" x14ac:dyDescent="0.25">
      <c r="O797" s="1">
        <f t="shared" si="65"/>
        <v>712</v>
      </c>
      <c r="Q797" s="12">
        <f t="shared" si="61"/>
        <v>9.0747940435395873E-4</v>
      </c>
      <c r="S797" s="13">
        <f t="shared" si="62"/>
        <v>0.64612533590001864</v>
      </c>
      <c r="U797" s="13">
        <f t="shared" si="63"/>
        <v>0.40836573195928144</v>
      </c>
      <c r="V797" s="12"/>
      <c r="W797" s="13">
        <f t="shared" si="64"/>
        <v>0.22391356251042407</v>
      </c>
    </row>
    <row r="798" spans="15:23" x14ac:dyDescent="0.25">
      <c r="O798" s="1">
        <f t="shared" si="65"/>
        <v>711</v>
      </c>
      <c r="Q798" s="12">
        <f t="shared" si="61"/>
        <v>9.1694032624355429E-4</v>
      </c>
      <c r="S798" s="13">
        <f t="shared" si="62"/>
        <v>0.65194457195916711</v>
      </c>
      <c r="U798" s="13">
        <f t="shared" si="63"/>
        <v>0.41262314680959944</v>
      </c>
      <c r="V798" s="12"/>
      <c r="W798" s="13">
        <f t="shared" si="64"/>
        <v>0.22538443033270028</v>
      </c>
    </row>
    <row r="799" spans="15:23" x14ac:dyDescent="0.25">
      <c r="O799" s="1">
        <f t="shared" si="65"/>
        <v>710</v>
      </c>
      <c r="Q799" s="12">
        <f t="shared" si="61"/>
        <v>9.2647657640325864E-4</v>
      </c>
      <c r="S799" s="13">
        <f t="shared" si="62"/>
        <v>0.65779836924631363</v>
      </c>
      <c r="U799" s="13">
        <f t="shared" si="63"/>
        <v>0.41691445938146637</v>
      </c>
      <c r="V799" s="12"/>
      <c r="W799" s="13">
        <f t="shared" si="64"/>
        <v>0.22685592302181809</v>
      </c>
    </row>
    <row r="800" spans="15:23" x14ac:dyDescent="0.25">
      <c r="O800" s="1">
        <f t="shared" si="65"/>
        <v>709</v>
      </c>
      <c r="Q800" s="12">
        <f t="shared" si="61"/>
        <v>9.360883371154488E-4</v>
      </c>
      <c r="S800" s="13">
        <f t="shared" si="62"/>
        <v>0.66368663101485315</v>
      </c>
      <c r="U800" s="13">
        <f t="shared" si="63"/>
        <v>0.42123975170195194</v>
      </c>
      <c r="V800" s="12"/>
      <c r="W800" s="13">
        <f t="shared" si="64"/>
        <v>0.22832787221507106</v>
      </c>
    </row>
    <row r="801" spans="15:23" x14ac:dyDescent="0.25">
      <c r="O801" s="1">
        <f t="shared" si="65"/>
        <v>708</v>
      </c>
      <c r="Q801" s="12">
        <f t="shared" si="61"/>
        <v>9.4577578247465152E-4</v>
      </c>
      <c r="S801" s="13">
        <f t="shared" si="62"/>
        <v>0.66960925399205329</v>
      </c>
      <c r="U801" s="13">
        <f t="shared" si="63"/>
        <v>0.4255991021135932</v>
      </c>
      <c r="V801" s="12"/>
      <c r="W801" s="13">
        <f t="shared" si="64"/>
        <v>0.22980010687363966</v>
      </c>
    </row>
    <row r="802" spans="15:23" x14ac:dyDescent="0.25">
      <c r="O802" s="1">
        <f t="shared" si="65"/>
        <v>707</v>
      </c>
      <c r="Q802" s="12">
        <f t="shared" si="61"/>
        <v>9.5553907819536852E-4</v>
      </c>
      <c r="S802" s="13">
        <f t="shared" si="62"/>
        <v>0.67556612828412554</v>
      </c>
      <c r="U802" s="13">
        <f t="shared" si="63"/>
        <v>0.42999258518791583</v>
      </c>
      <c r="V802" s="12"/>
      <c r="W802" s="13">
        <f t="shared" si="64"/>
        <v>0.23127245327463333</v>
      </c>
    </row>
    <row r="803" spans="15:23" x14ac:dyDescent="0.25">
      <c r="O803" s="1">
        <f t="shared" si="65"/>
        <v>706</v>
      </c>
      <c r="Q803" s="12">
        <f t="shared" si="61"/>
        <v>9.6537838141795302E-4</v>
      </c>
      <c r="S803" s="13">
        <f t="shared" si="62"/>
        <v>0.68155713728107481</v>
      </c>
      <c r="U803" s="13">
        <f t="shared" si="63"/>
        <v>0.43442027163807884</v>
      </c>
      <c r="V803" s="12"/>
      <c r="W803" s="13">
        <f t="shared" si="64"/>
        <v>0.23274473500374923</v>
      </c>
    </row>
    <row r="804" spans="15:23" x14ac:dyDescent="0.25">
      <c r="O804" s="1">
        <f t="shared" si="65"/>
        <v>705</v>
      </c>
      <c r="Q804" s="12">
        <f t="shared" si="61"/>
        <v>9.7529384051252787E-4</v>
      </c>
      <c r="S804" s="13">
        <f t="shared" si="62"/>
        <v>0.68758215756133212</v>
      </c>
      <c r="U804" s="13">
        <f t="shared" si="63"/>
        <v>0.43888222823063755</v>
      </c>
      <c r="V804" s="12"/>
      <c r="W804" s="13">
        <f t="shared" si="64"/>
        <v>0.23421677294855719</v>
      </c>
    </row>
    <row r="805" spans="15:23" x14ac:dyDescent="0.25">
      <c r="O805" s="1">
        <f t="shared" si="65"/>
        <v>704</v>
      </c>
      <c r="Q805" s="12">
        <f t="shared" si="61"/>
        <v>9.8528559488110078E-4</v>
      </c>
      <c r="S805" s="13">
        <f t="shared" si="62"/>
        <v>0.6936410587962949</v>
      </c>
      <c r="U805" s="13">
        <f t="shared" si="63"/>
        <v>0.44337851769649533</v>
      </c>
      <c r="V805" s="12"/>
      <c r="W805" s="13">
        <f t="shared" si="64"/>
        <v>0.23568838529246161</v>
      </c>
    </row>
    <row r="806" spans="15:23" x14ac:dyDescent="0.25">
      <c r="O806" s="1">
        <f t="shared" si="65"/>
        <v>703</v>
      </c>
      <c r="Q806" s="12">
        <f t="shared" si="61"/>
        <v>9.9535377475768187E-4</v>
      </c>
      <c r="S806" s="13">
        <f t="shared" si="62"/>
        <v>0.69973370365465037</v>
      </c>
      <c r="U806" s="13">
        <f t="shared" si="63"/>
        <v>0.44790919864095685</v>
      </c>
      <c r="V806" s="12"/>
      <c r="W806" s="13">
        <f t="shared" si="64"/>
        <v>0.23715938750930537</v>
      </c>
    </row>
    <row r="807" spans="15:23" x14ac:dyDescent="0.25">
      <c r="O807" s="1">
        <f t="shared" si="65"/>
        <v>702</v>
      </c>
      <c r="Q807" s="12">
        <f t="shared" si="61"/>
        <v>1.0054985010066544E-3</v>
      </c>
      <c r="S807" s="13">
        <f t="shared" si="62"/>
        <v>0.70585994770667138</v>
      </c>
      <c r="U807" s="13">
        <f t="shared" si="63"/>
        <v>0.45247432545299449</v>
      </c>
      <c r="V807" s="12"/>
      <c r="W807" s="13">
        <f t="shared" si="64"/>
        <v>0.23862959235868864</v>
      </c>
    </row>
    <row r="808" spans="15:23" x14ac:dyDescent="0.25">
      <c r="O808" s="1">
        <f t="shared" si="65"/>
        <v>701</v>
      </c>
      <c r="Q808" s="12">
        <f t="shared" si="61"/>
        <v>1.0157198849192171E-3</v>
      </c>
      <c r="S808" s="13">
        <f t="shared" si="62"/>
        <v>0.7120196393283712</v>
      </c>
      <c r="U808" s="13">
        <f t="shared" si="63"/>
        <v>0.45707394821364772</v>
      </c>
      <c r="V808" s="12"/>
      <c r="W808" s="13">
        <f t="shared" si="64"/>
        <v>0.24009880988197149</v>
      </c>
    </row>
    <row r="809" spans="15:23" x14ac:dyDescent="0.25">
      <c r="O809" s="1">
        <f t="shared" si="65"/>
        <v>700</v>
      </c>
      <c r="Q809" s="12">
        <f t="shared" si="61"/>
        <v>1.0260180280080699E-3</v>
      </c>
      <c r="S809" s="13">
        <f t="shared" si="62"/>
        <v>0.71821261960564897</v>
      </c>
      <c r="U809" s="13">
        <f t="shared" si="63"/>
        <v>0.46170811260363143</v>
      </c>
      <c r="V809" s="12"/>
      <c r="W809" s="13">
        <f t="shared" si="64"/>
        <v>0.24156684739901271</v>
      </c>
    </row>
    <row r="810" spans="15:23" x14ac:dyDescent="0.25">
      <c r="O810" s="1">
        <f t="shared" si="65"/>
        <v>699</v>
      </c>
      <c r="Q810" s="12">
        <f t="shared" si="61"/>
        <v>1.0363930218002658E-3</v>
      </c>
      <c r="S810" s="13">
        <f t="shared" si="62"/>
        <v>0.72443872223838579</v>
      </c>
      <c r="U810" s="13">
        <f t="shared" si="63"/>
        <v>0.46637685981011962</v>
      </c>
      <c r="V810" s="12"/>
      <c r="W810" s="13">
        <f t="shared" si="64"/>
        <v>0.24303350950563865</v>
      </c>
    </row>
    <row r="811" spans="15:23" x14ac:dyDescent="0.25">
      <c r="O811" s="1">
        <f t="shared" si="65"/>
        <v>698</v>
      </c>
      <c r="Q811" s="12">
        <f t="shared" si="61"/>
        <v>1.0468449476283247E-3</v>
      </c>
      <c r="S811" s="13">
        <f t="shared" si="62"/>
        <v>0.73069777344457065</v>
      </c>
      <c r="U811" s="13">
        <f t="shared" si="63"/>
        <v>0.47108022643274611</v>
      </c>
      <c r="V811" s="12"/>
      <c r="W811" s="13">
        <f t="shared" si="64"/>
        <v>0.24449859807187771</v>
      </c>
    </row>
    <row r="812" spans="15:23" x14ac:dyDescent="0.25">
      <c r="O812" s="1">
        <f t="shared" si="65"/>
        <v>697</v>
      </c>
      <c r="Q812" s="12">
        <f t="shared" si="61"/>
        <v>1.05737387641958E-3</v>
      </c>
      <c r="S812" s="13">
        <f t="shared" si="62"/>
        <v>0.73698959186444735</v>
      </c>
      <c r="U812" s="13">
        <f t="shared" si="63"/>
        <v>0.47581824438881104</v>
      </c>
      <c r="V812" s="12"/>
      <c r="W812" s="13">
        <f t="shared" si="64"/>
        <v>0.24596191224096239</v>
      </c>
    </row>
    <row r="813" spans="15:23" x14ac:dyDescent="0.25">
      <c r="O813" s="1">
        <f t="shared" si="65"/>
        <v>696</v>
      </c>
      <c r="Q813" s="12">
        <f t="shared" si="61"/>
        <v>1.0679798684838293E-3</v>
      </c>
      <c r="S813" s="13">
        <f t="shared" si="62"/>
        <v>0.74331398846474517</v>
      </c>
      <c r="U813" s="13">
        <f t="shared" si="63"/>
        <v>0.48059094081772319</v>
      </c>
      <c r="V813" s="12"/>
      <c r="W813" s="13">
        <f t="shared" si="64"/>
        <v>0.24742324842912999</v>
      </c>
    </row>
    <row r="814" spans="15:23" x14ac:dyDescent="0.25">
      <c r="O814" s="1">
        <f t="shared" si="65"/>
        <v>695</v>
      </c>
      <c r="Q814" s="12">
        <f t="shared" si="61"/>
        <v>1.0786629732992784E-3</v>
      </c>
      <c r="S814" s="13">
        <f t="shared" si="62"/>
        <v>0.74967076644299846</v>
      </c>
      <c r="U814" s="13">
        <f t="shared" si="63"/>
        <v>0.4853983379846753</v>
      </c>
      <c r="V814" s="12"/>
      <c r="W814" s="13">
        <f t="shared" si="64"/>
        <v>0.24888240032622944</v>
      </c>
    </row>
    <row r="815" spans="15:23" x14ac:dyDescent="0.25">
      <c r="O815" s="1">
        <f t="shared" si="65"/>
        <v>694</v>
      </c>
      <c r="Q815" s="12">
        <f t="shared" si="61"/>
        <v>1.0894232292968347E-3</v>
      </c>
      <c r="S815" s="13">
        <f t="shared" si="62"/>
        <v>0.75605972113200326</v>
      </c>
      <c r="U815" s="13">
        <f t="shared" si="63"/>
        <v>0.49024045318357562</v>
      </c>
      <c r="V815" s="12"/>
      <c r="W815" s="13">
        <f t="shared" si="64"/>
        <v>0.25033915889715741</v>
      </c>
    </row>
    <row r="816" spans="15:23" x14ac:dyDescent="0.25">
      <c r="O816" s="1">
        <f t="shared" si="65"/>
        <v>693</v>
      </c>
      <c r="Q816" s="12">
        <f t="shared" si="61"/>
        <v>1.1002606636428078E-3</v>
      </c>
      <c r="S816" s="13">
        <f t="shared" si="62"/>
        <v>0.7624806399044658</v>
      </c>
      <c r="U816" s="13">
        <f t="shared" si="63"/>
        <v>0.49511729863926351</v>
      </c>
      <c r="V816" s="12"/>
      <c r="W816" s="13">
        <f t="shared" si="64"/>
        <v>0.25179331238414954</v>
      </c>
    </row>
    <row r="817" spans="15:23" x14ac:dyDescent="0.25">
      <c r="O817" s="1">
        <f t="shared" si="65"/>
        <v>692</v>
      </c>
      <c r="Q817" s="12">
        <f t="shared" si="61"/>
        <v>1.1111752920199536E-3</v>
      </c>
      <c r="S817" s="13">
        <f t="shared" si="62"/>
        <v>0.76893330207780786</v>
      </c>
      <c r="U817" s="13">
        <f t="shared" si="63"/>
        <v>0.50002888140897916</v>
      </c>
      <c r="V817" s="12"/>
      <c r="W817" s="13">
        <f t="shared" si="64"/>
        <v>0.25324464630992205</v>
      </c>
    </row>
    <row r="818" spans="15:23" x14ac:dyDescent="0.25">
      <c r="O818" s="1">
        <f t="shared" si="65"/>
        <v>691</v>
      </c>
      <c r="Q818" s="12">
        <f t="shared" si="61"/>
        <v>1.122167118407003E-3</v>
      </c>
      <c r="S818" s="13">
        <f t="shared" si="62"/>
        <v>0.77541747881923906</v>
      </c>
      <c r="U818" s="13">
        <f t="shared" si="63"/>
        <v>0.50497520328315137</v>
      </c>
      <c r="V818" s="12"/>
      <c r="W818" s="13">
        <f t="shared" si="64"/>
        <v>0.25469294348170651</v>
      </c>
    </row>
    <row r="819" spans="15:23" x14ac:dyDescent="0.25">
      <c r="O819" s="1">
        <f t="shared" si="65"/>
        <v>690</v>
      </c>
      <c r="Q819" s="12">
        <f t="shared" si="61"/>
        <v>1.1332361348566997E-3</v>
      </c>
      <c r="S819" s="13">
        <f t="shared" si="62"/>
        <v>0.78193293305112277</v>
      </c>
      <c r="U819" s="13">
        <f t="shared" si="63"/>
        <v>0.50995626068551492</v>
      </c>
      <c r="V819" s="12"/>
      <c r="W819" s="13">
        <f t="shared" si="64"/>
        <v>0.2561379839961927</v>
      </c>
    </row>
    <row r="820" spans="15:23" x14ac:dyDescent="0.25">
      <c r="O820" s="1">
        <f t="shared" si="65"/>
        <v>689</v>
      </c>
      <c r="Q820" s="12">
        <f t="shared" si="61"/>
        <v>1.144382321272243E-3</v>
      </c>
      <c r="S820" s="13">
        <f t="shared" si="62"/>
        <v>0.7884794193565754</v>
      </c>
      <c r="U820" s="13">
        <f t="shared" si="63"/>
        <v>0.51497204457250934</v>
      </c>
      <c r="V820" s="12"/>
      <c r="W820" s="13">
        <f t="shared" si="64"/>
        <v>0.2575795452453683</v>
      </c>
    </row>
    <row r="821" spans="15:23" x14ac:dyDescent="0.25">
      <c r="O821" s="1">
        <f t="shared" si="65"/>
        <v>688</v>
      </c>
      <c r="Q821" s="12">
        <f t="shared" si="61"/>
        <v>1.1556056451824284E-3</v>
      </c>
      <c r="S821" s="13">
        <f t="shared" si="62"/>
        <v>0.79505668388551076</v>
      </c>
      <c r="U821" s="13">
        <f t="shared" si="63"/>
        <v>0.52002254033209283</v>
      </c>
      <c r="V821" s="12"/>
      <c r="W821" s="13">
        <f t="shared" si="64"/>
        <v>0.25901740192332795</v>
      </c>
    </row>
    <row r="822" spans="15:23" x14ac:dyDescent="0.25">
      <c r="O822" s="1">
        <f t="shared" si="65"/>
        <v>687</v>
      </c>
      <c r="Q822" s="12">
        <f t="shared" si="61"/>
        <v>1.1669060615152628E-3</v>
      </c>
      <c r="S822" s="13">
        <f t="shared" si="62"/>
        <v>0.80166446426098559</v>
      </c>
      <c r="U822" s="13">
        <f t="shared" si="63"/>
        <v>0.52510772768186831</v>
      </c>
      <c r="V822" s="12"/>
      <c r="W822" s="13">
        <f t="shared" si="64"/>
        <v>0.26045132603401433</v>
      </c>
    </row>
    <row r="823" spans="15:23" x14ac:dyDescent="0.25">
      <c r="O823" s="1">
        <f t="shared" si="65"/>
        <v>686</v>
      </c>
      <c r="Q823" s="12">
        <f t="shared" si="61"/>
        <v>1.178283512370281E-3</v>
      </c>
      <c r="S823" s="13">
        <f t="shared" si="62"/>
        <v>0.8083024894860128</v>
      </c>
      <c r="U823" s="13">
        <f t="shared" si="63"/>
        <v>0.53022758056662644</v>
      </c>
      <c r="V823" s="12"/>
      <c r="W823" s="13">
        <f t="shared" si="64"/>
        <v>0.26188108689994832</v>
      </c>
    </row>
    <row r="824" spans="15:23" x14ac:dyDescent="0.25">
      <c r="O824" s="1">
        <f t="shared" si="65"/>
        <v>685</v>
      </c>
      <c r="Q824" s="12">
        <f t="shared" si="61"/>
        <v>1.1897379267895257E-3</v>
      </c>
      <c r="S824" s="13">
        <f t="shared" si="62"/>
        <v>0.81497047985082516</v>
      </c>
      <c r="U824" s="13">
        <f t="shared" si="63"/>
        <v>0.53538206705528657</v>
      </c>
      <c r="V824" s="12"/>
      <c r="W824" s="13">
        <f t="shared" si="64"/>
        <v>0.26330645117195078</v>
      </c>
    </row>
    <row r="825" spans="15:23" x14ac:dyDescent="0.25">
      <c r="O825" s="1">
        <f t="shared" si="65"/>
        <v>684</v>
      </c>
      <c r="Q825" s="12">
        <f t="shared" si="61"/>
        <v>1.2012692205272749E-3</v>
      </c>
      <c r="S825" s="13">
        <f t="shared" si="62"/>
        <v>0.82166814684065603</v>
      </c>
      <c r="U825" s="13">
        <f t="shared" si="63"/>
        <v>0.54057114923727367</v>
      </c>
      <c r="V825" s="12"/>
      <c r="W825" s="13">
        <f t="shared" si="64"/>
        <v>0.26472718283988206</v>
      </c>
    </row>
    <row r="826" spans="15:23" x14ac:dyDescent="0.25">
      <c r="O826" s="1">
        <f t="shared" si="65"/>
        <v>683</v>
      </c>
      <c r="Q826" s="12">
        <f t="shared" si="61"/>
        <v>1.2128772958184637E-3</v>
      </c>
      <c r="S826" s="13">
        <f t="shared" si="62"/>
        <v>0.82839519304401066</v>
      </c>
      <c r="U826" s="13">
        <f t="shared" si="63"/>
        <v>0.54579478311830865</v>
      </c>
      <c r="V826" s="12"/>
      <c r="W826" s="13">
        <f t="shared" si="64"/>
        <v>0.26614304324439625</v>
      </c>
    </row>
    <row r="827" spans="15:23" x14ac:dyDescent="0.25">
      <c r="O827" s="1">
        <f t="shared" si="65"/>
        <v>682</v>
      </c>
      <c r="Q827" s="12">
        <f t="shared" si="61"/>
        <v>1.2245620411460505E-3</v>
      </c>
      <c r="S827" s="13">
        <f t="shared" si="62"/>
        <v>0.83515131206160642</v>
      </c>
      <c r="U827" s="13">
        <f t="shared" si="63"/>
        <v>0.5510529185157228</v>
      </c>
      <c r="V827" s="12"/>
      <c r="W827" s="13">
        <f t="shared" si="64"/>
        <v>0.26755379108977345</v>
      </c>
    </row>
    <row r="828" spans="15:23" x14ac:dyDescent="0.25">
      <c r="O828" s="1">
        <f t="shared" si="65"/>
        <v>681</v>
      </c>
      <c r="Q828" s="12">
        <f t="shared" si="61"/>
        <v>1.2363233310071647E-3</v>
      </c>
      <c r="S828" s="13">
        <f t="shared" si="62"/>
        <v>0.84193618841587914</v>
      </c>
      <c r="U828" s="13">
        <f t="shared" si="63"/>
        <v>0.55634549895322416</v>
      </c>
      <c r="V828" s="12"/>
      <c r="W828" s="13">
        <f t="shared" si="64"/>
        <v>0.26895918245780126</v>
      </c>
    </row>
    <row r="829" spans="15:23" x14ac:dyDescent="0.25">
      <c r="O829" s="1">
        <f t="shared" si="65"/>
        <v>680</v>
      </c>
      <c r="Q829" s="12">
        <f t="shared" si="61"/>
        <v>1.2481610256781814E-3</v>
      </c>
      <c r="S829" s="13">
        <f t="shared" si="62"/>
        <v>0.84874949746116335</v>
      </c>
      <c r="U829" s="13">
        <f t="shared" si="63"/>
        <v>0.56167246155518158</v>
      </c>
      <c r="V829" s="12"/>
      <c r="W829" s="13">
        <f t="shared" si="64"/>
        <v>0.27035897082274557</v>
      </c>
    </row>
    <row r="830" spans="15:23" x14ac:dyDescent="0.25">
      <c r="O830" s="1">
        <f t="shared" si="65"/>
        <v>679</v>
      </c>
      <c r="Q830" s="12">
        <f t="shared" si="61"/>
        <v>1.2600749709788341E-3</v>
      </c>
      <c r="S830" s="13">
        <f t="shared" si="62"/>
        <v>0.85559090529462833</v>
      </c>
      <c r="U830" s="13">
        <f t="shared" si="63"/>
        <v>0.56703373694047532</v>
      </c>
      <c r="V830" s="12"/>
      <c r="W830" s="13">
        <f t="shared" si="64"/>
        <v>0.27175290706744043</v>
      </c>
    </row>
    <row r="831" spans="15:23" x14ac:dyDescent="0.25">
      <c r="O831" s="1">
        <f t="shared" si="65"/>
        <v>678</v>
      </c>
      <c r="Q831" s="12">
        <f t="shared" si="61"/>
        <v>1.272064998035325E-3</v>
      </c>
      <c r="S831" s="13">
        <f t="shared" si="62"/>
        <v>0.86246006866795033</v>
      </c>
      <c r="U831" s="13">
        <f t="shared" si="63"/>
        <v>0.57242924911589621</v>
      </c>
      <c r="V831" s="12"/>
      <c r="W831" s="13">
        <f t="shared" si="64"/>
        <v>0.27314073950049766</v>
      </c>
    </row>
    <row r="832" spans="15:23" x14ac:dyDescent="0.25">
      <c r="O832" s="1">
        <f t="shared" si="65"/>
        <v>677</v>
      </c>
      <c r="Q832" s="12">
        <f t="shared" si="61"/>
        <v>1.2841309230424906E-3</v>
      </c>
      <c r="S832" s="13">
        <f t="shared" si="62"/>
        <v>0.86935663489976611</v>
      </c>
      <c r="U832" s="13">
        <f t="shared" si="63"/>
        <v>0.57785891536912082</v>
      </c>
      <c r="V832" s="12"/>
      <c r="W832" s="13">
        <f t="shared" si="64"/>
        <v>0.27452221387465031</v>
      </c>
    </row>
    <row r="833" spans="15:23" x14ac:dyDescent="0.25">
      <c r="O833" s="1">
        <f t="shared" si="65"/>
        <v>676</v>
      </c>
      <c r="Q833" s="12">
        <f t="shared" si="61"/>
        <v>1.2962725470251999E-3</v>
      </c>
      <c r="S833" s="13">
        <f t="shared" si="62"/>
        <v>0.87628024178903507</v>
      </c>
      <c r="U833" s="13">
        <f t="shared" si="63"/>
        <v>0.58332264616134</v>
      </c>
      <c r="V833" s="12"/>
      <c r="W833" s="13">
        <f t="shared" si="64"/>
        <v>0.27589707340627917</v>
      </c>
    </row>
    <row r="834" spans="15:23" x14ac:dyDescent="0.25">
      <c r="O834" s="1">
        <f t="shared" si="65"/>
        <v>675</v>
      </c>
      <c r="Q834" s="12">
        <f t="shared" si="61"/>
        <v>1.3084896555988971E-3</v>
      </c>
      <c r="S834" s="13">
        <f t="shared" si="62"/>
        <v>0.88323051752925552</v>
      </c>
      <c r="U834" s="13">
        <f t="shared" si="63"/>
        <v>0.58882034501950375</v>
      </c>
      <c r="V834" s="12"/>
      <c r="W834" s="13">
        <f t="shared" si="64"/>
        <v>0.27726505879610458</v>
      </c>
    </row>
    <row r="835" spans="15:23" x14ac:dyDescent="0.25">
      <c r="O835" s="1">
        <f t="shared" si="65"/>
        <v>674</v>
      </c>
      <c r="Q835" s="12">
        <f t="shared" si="61"/>
        <v>1.3207820187294559E-3</v>
      </c>
      <c r="S835" s="13">
        <f t="shared" si="62"/>
        <v>0.89020708062365328</v>
      </c>
      <c r="U835" s="13">
        <f t="shared" si="63"/>
        <v>0.59435190842825514</v>
      </c>
      <c r="V835" s="12"/>
      <c r="W835" s="13">
        <f t="shared" si="64"/>
        <v>0.27862590825108674</v>
      </c>
    </row>
    <row r="836" spans="15:23" x14ac:dyDescent="0.25">
      <c r="O836" s="1">
        <f t="shared" si="65"/>
        <v>673</v>
      </c>
      <c r="Q836" s="12">
        <f t="shared" si="61"/>
        <v>1.3331493904923505E-3</v>
      </c>
      <c r="S836" s="13">
        <f t="shared" si="62"/>
        <v>0.89720953980135187</v>
      </c>
      <c r="U836" s="13">
        <f t="shared" si="63"/>
        <v>0.5999172257215577</v>
      </c>
      <c r="V836" s="12"/>
      <c r="W836" s="13">
        <f t="shared" si="64"/>
        <v>0.27997935750753933</v>
      </c>
    </row>
    <row r="837" spans="15:23" x14ac:dyDescent="0.25">
      <c r="O837" s="1">
        <f t="shared" si="65"/>
        <v>672</v>
      </c>
      <c r="Q837" s="12">
        <f t="shared" si="61"/>
        <v>1.345591508831267E-3</v>
      </c>
      <c r="S837" s="13">
        <f t="shared" si="62"/>
        <v>0.90423749393461139</v>
      </c>
      <c r="U837" s="13">
        <f t="shared" si="63"/>
        <v>0.60551617897407017</v>
      </c>
      <c r="V837" s="12"/>
      <c r="W837" s="13">
        <f t="shared" si="64"/>
        <v>0.28132513985548757</v>
      </c>
    </row>
    <row r="838" spans="15:23" x14ac:dyDescent="0.25">
      <c r="O838" s="1">
        <f t="shared" si="65"/>
        <v>671</v>
      </c>
      <c r="Q838" s="12">
        <f t="shared" si="61"/>
        <v>1.358108095316156E-3</v>
      </c>
      <c r="S838" s="13">
        <f t="shared" si="62"/>
        <v>0.91129053195714071</v>
      </c>
      <c r="U838" s="13">
        <f t="shared" si="63"/>
        <v>0.61114864289227022</v>
      </c>
      <c r="V838" s="12"/>
      <c r="W838" s="13">
        <f t="shared" si="64"/>
        <v>0.2826629861642731</v>
      </c>
    </row>
    <row r="839" spans="15:23" x14ac:dyDescent="0.25">
      <c r="O839" s="1">
        <f t="shared" si="65"/>
        <v>670</v>
      </c>
      <c r="Q839" s="12">
        <f t="shared" si="61"/>
        <v>1.3706988549008717E-3</v>
      </c>
      <c r="S839" s="13">
        <f t="shared" si="62"/>
        <v>0.91836823278358404</v>
      </c>
      <c r="U839" s="13">
        <f t="shared" si="63"/>
        <v>0.61681448470539224</v>
      </c>
      <c r="V839" s="12"/>
      <c r="W839" s="13">
        <f t="shared" si="64"/>
        <v>0.28399262490944033</v>
      </c>
    </row>
    <row r="840" spans="15:23" x14ac:dyDescent="0.25">
      <c r="O840" s="1">
        <f t="shared" si="65"/>
        <v>669</v>
      </c>
      <c r="Q840" s="12">
        <f t="shared" si="61"/>
        <v>1.383363475680381E-3</v>
      </c>
      <c r="S840" s="13">
        <f t="shared" si="62"/>
        <v>0.92547016523017489</v>
      </c>
      <c r="U840" s="13">
        <f t="shared" si="63"/>
        <v>0.62251356405617142</v>
      </c>
      <c r="V840" s="12"/>
      <c r="W840" s="13">
        <f t="shared" si="64"/>
        <v>0.28531378220090464</v>
      </c>
    </row>
    <row r="841" spans="15:23" x14ac:dyDescent="0.25">
      <c r="O841" s="1">
        <f t="shared" si="65"/>
        <v>668</v>
      </c>
      <c r="Q841" s="12">
        <f t="shared" si="61"/>
        <v>1.3961016286477468E-3</v>
      </c>
      <c r="S841" s="13">
        <f t="shared" si="62"/>
        <v>0.9325958879366949</v>
      </c>
      <c r="U841" s="13">
        <f t="shared" si="63"/>
        <v>0.628245732891486</v>
      </c>
      <c r="V841" s="12"/>
      <c r="W841" s="13">
        <f t="shared" si="64"/>
        <v>0.28662618181244492</v>
      </c>
    </row>
    <row r="842" spans="15:23" x14ac:dyDescent="0.25">
      <c r="O842" s="1">
        <f t="shared" si="65"/>
        <v>667</v>
      </c>
      <c r="Q842" s="12">
        <f t="shared" ref="Q842:Q905" si="66">_xlfn.LOGNORM.DIST(O842,$D$25,$D$26,FALSE)</f>
        <v>1.408912967450769E-3</v>
      </c>
      <c r="S842" s="13">
        <f t="shared" ref="S842:S905" si="67">IF(O842&gt;$D$6,O842*Q842,0)</f>
        <v>0.9397449492896629</v>
      </c>
      <c r="U842" s="13">
        <f t="shared" ref="U842:U905" si="68">IF(O842&gt;$D$6,$D$6*Q842,0)</f>
        <v>0.63401083535284608</v>
      </c>
      <c r="V842" s="12"/>
      <c r="W842" s="13">
        <f t="shared" ref="W842:W905" si="69">(S842-U842)*EXP(-$D$9*$D$7)</f>
        <v>0.28792954521249986</v>
      </c>
    </row>
    <row r="843" spans="15:23" x14ac:dyDescent="0.25">
      <c r="O843" s="1">
        <f t="shared" ref="O843:O906" si="70">O842-1</f>
        <v>666</v>
      </c>
      <c r="Q843" s="12">
        <f t="shared" si="66"/>
        <v>1.421797128148612E-3</v>
      </c>
      <c r="S843" s="13">
        <f t="shared" si="67"/>
        <v>0.94691688734697554</v>
      </c>
      <c r="U843" s="13">
        <f t="shared" si="68"/>
        <v>0.63980870766687536</v>
      </c>
      <c r="V843" s="12"/>
      <c r="W843" s="13">
        <f t="shared" si="69"/>
        <v>0.2892235915963372</v>
      </c>
    </row>
    <row r="844" spans="15:23" x14ac:dyDescent="0.25">
      <c r="O844" s="1">
        <f t="shared" si="70"/>
        <v>665</v>
      </c>
      <c r="Q844" s="12">
        <f t="shared" si="66"/>
        <v>1.4347537289682809E-3</v>
      </c>
      <c r="S844" s="13">
        <f t="shared" si="67"/>
        <v>0.95411122976390683</v>
      </c>
      <c r="U844" s="13">
        <f t="shared" si="68"/>
        <v>0.64563917803572646</v>
      </c>
      <c r="V844" s="12"/>
      <c r="W844" s="13">
        <f t="shared" si="69"/>
        <v>0.29050803791956603</v>
      </c>
    </row>
    <row r="845" spans="15:23" x14ac:dyDescent="0.25">
      <c r="O845" s="1">
        <f t="shared" si="70"/>
        <v>664</v>
      </c>
      <c r="Q845" s="12">
        <f t="shared" si="66"/>
        <v>1.4477823700611101E-3</v>
      </c>
      <c r="S845" s="13">
        <f t="shared" si="67"/>
        <v>0.96132749372057713</v>
      </c>
      <c r="U845" s="13">
        <f t="shared" si="68"/>
        <v>0.65150206652749953</v>
      </c>
      <c r="V845" s="12"/>
      <c r="W845" s="13">
        <f t="shared" si="69"/>
        <v>0.29178259893302932</v>
      </c>
    </row>
    <row r="846" spans="15:23" x14ac:dyDescent="0.25">
      <c r="O846" s="1">
        <f t="shared" si="70"/>
        <v>663</v>
      </c>
      <c r="Q846" s="12">
        <f t="shared" si="66"/>
        <v>1.4608826332593993E-3</v>
      </c>
      <c r="S846" s="13">
        <f t="shared" si="67"/>
        <v>0.96856518585098172</v>
      </c>
      <c r="U846" s="13">
        <f t="shared" si="68"/>
        <v>0.65739718496672972</v>
      </c>
      <c r="V846" s="12"/>
      <c r="W846" s="13">
        <f t="shared" si="69"/>
        <v>0.29304698721910066</v>
      </c>
    </row>
    <row r="847" spans="15:23" x14ac:dyDescent="0.25">
      <c r="O847" s="1">
        <f t="shared" si="70"/>
        <v>662</v>
      </c>
      <c r="Q847" s="12">
        <f t="shared" si="66"/>
        <v>1.4740540818332275E-3</v>
      </c>
      <c r="S847" s="13">
        <f t="shared" si="67"/>
        <v>0.97582380217359665</v>
      </c>
      <c r="U847" s="13">
        <f t="shared" si="68"/>
        <v>0.6633243368249524</v>
      </c>
      <c r="V847" s="12"/>
      <c r="W847" s="13">
        <f t="shared" si="69"/>
        <v>0.29430091322939306</v>
      </c>
    </row>
    <row r="848" spans="15:23" x14ac:dyDescent="0.25">
      <c r="O848" s="1">
        <f t="shared" si="70"/>
        <v>661</v>
      </c>
      <c r="Q848" s="12">
        <f t="shared" si="66"/>
        <v>1.4872962602475246E-3</v>
      </c>
      <c r="S848" s="13">
        <f t="shared" si="67"/>
        <v>0.98310282802361382</v>
      </c>
      <c r="U848" s="13">
        <f t="shared" si="68"/>
        <v>0.66928331711138611</v>
      </c>
      <c r="V848" s="12"/>
      <c r="W848" s="13">
        <f t="shared" si="69"/>
        <v>0.2955440853238912</v>
      </c>
    </row>
    <row r="849" spans="15:23" x14ac:dyDescent="0.25">
      <c r="O849" s="1">
        <f t="shared" si="70"/>
        <v>660</v>
      </c>
      <c r="Q849" s="12">
        <f t="shared" si="66"/>
        <v>1.500608693919522E-3</v>
      </c>
      <c r="S849" s="13">
        <f t="shared" si="67"/>
        <v>0.99040173798688447</v>
      </c>
      <c r="U849" s="13">
        <f t="shared" si="68"/>
        <v>0.67527391226378486</v>
      </c>
      <c r="V849" s="12"/>
      <c r="W849" s="13">
        <f t="shared" si="69"/>
        <v>0.2967762098115333</v>
      </c>
    </row>
    <row r="850" spans="15:23" x14ac:dyDescent="0.25">
      <c r="O850" s="1">
        <f t="shared" si="70"/>
        <v>659</v>
      </c>
      <c r="Q850" s="12">
        <f t="shared" si="66"/>
        <v>1.5139908889767056E-3</v>
      </c>
      <c r="S850" s="13">
        <f t="shared" si="67"/>
        <v>0.99771999583564897</v>
      </c>
      <c r="U850" s="13">
        <f t="shared" si="68"/>
        <v>0.68129590003951757</v>
      </c>
      <c r="V850" s="12"/>
      <c r="W850" s="13">
        <f t="shared" si="69"/>
        <v>0.29799699099226135</v>
      </c>
    </row>
    <row r="851" spans="15:23" x14ac:dyDescent="0.25">
      <c r="O851" s="1">
        <f t="shared" si="70"/>
        <v>658</v>
      </c>
      <c r="Q851" s="12">
        <f t="shared" si="66"/>
        <v>1.5274423320152696E-3</v>
      </c>
      <c r="S851" s="13">
        <f t="shared" si="67"/>
        <v>1.0050570544660473</v>
      </c>
      <c r="U851" s="13">
        <f t="shared" si="68"/>
        <v>0.68734904940687136</v>
      </c>
      <c r="V851" s="12"/>
      <c r="W851" s="13">
        <f t="shared" si="69"/>
        <v>0.29920613120053696</v>
      </c>
    </row>
    <row r="852" spans="15:23" x14ac:dyDescent="0.25">
      <c r="O852" s="1">
        <f t="shared" si="70"/>
        <v>657</v>
      </c>
      <c r="Q852" s="12">
        <f t="shared" si="66"/>
        <v>1.540962489859293E-3</v>
      </c>
      <c r="S852" s="13">
        <f t="shared" si="67"/>
        <v>1.0124123558375555</v>
      </c>
      <c r="U852" s="13">
        <f t="shared" si="68"/>
        <v>0.69343312043668182</v>
      </c>
      <c r="V852" s="12"/>
      <c r="W852" s="13">
        <f t="shared" si="69"/>
        <v>0.30040333085036408</v>
      </c>
    </row>
    <row r="853" spans="15:23" x14ac:dyDescent="0.25">
      <c r="O853" s="1">
        <f t="shared" si="70"/>
        <v>656</v>
      </c>
      <c r="Q853" s="12">
        <f t="shared" si="66"/>
        <v>1.5545508093206125E-3</v>
      </c>
      <c r="S853" s="13">
        <f t="shared" si="67"/>
        <v>1.0197853309143219</v>
      </c>
      <c r="U853" s="13">
        <f t="shared" si="68"/>
        <v>0.69954786419427561</v>
      </c>
      <c r="V853" s="12"/>
      <c r="W853" s="13">
        <f t="shared" si="69"/>
        <v>0.30158828848180574</v>
      </c>
    </row>
    <row r="854" spans="15:23" x14ac:dyDescent="0.25">
      <c r="O854" s="1">
        <f t="shared" si="70"/>
        <v>655</v>
      </c>
      <c r="Q854" s="12">
        <f t="shared" si="66"/>
        <v>1.5682067169596327E-3</v>
      </c>
      <c r="S854" s="13">
        <f t="shared" si="67"/>
        <v>1.0271753996085593</v>
      </c>
      <c r="U854" s="13">
        <f t="shared" si="68"/>
        <v>0.70569302263183464</v>
      </c>
      <c r="V854" s="12"/>
      <c r="W854" s="13">
        <f t="shared" si="69"/>
        <v>0.30276070080904072</v>
      </c>
    </row>
    <row r="855" spans="15:23" x14ac:dyDescent="0.25">
      <c r="O855" s="1">
        <f t="shared" si="70"/>
        <v>654</v>
      </c>
      <c r="Q855" s="12">
        <f t="shared" si="66"/>
        <v>1.581929618847048E-3</v>
      </c>
      <c r="S855" s="13">
        <f t="shared" si="67"/>
        <v>1.0345819707259694</v>
      </c>
      <c r="U855" s="13">
        <f t="shared" si="68"/>
        <v>0.71186832848117154</v>
      </c>
      <c r="V855" s="12"/>
      <c r="W855" s="13">
        <f t="shared" si="69"/>
        <v>0.3039202627699461</v>
      </c>
    </row>
    <row r="856" spans="15:23" x14ac:dyDescent="0.25">
      <c r="O856" s="1">
        <f t="shared" si="70"/>
        <v>653</v>
      </c>
      <c r="Q856" s="12">
        <f t="shared" si="66"/>
        <v>1.5957189003266785E-3</v>
      </c>
      <c r="S856" s="13">
        <f t="shared" si="67"/>
        <v>1.042004441913321</v>
      </c>
      <c r="U856" s="13">
        <f t="shared" si="68"/>
        <v>0.7180735051470053</v>
      </c>
      <c r="V856" s="12"/>
      <c r="W856" s="13">
        <f t="shared" si="69"/>
        <v>0.30506666757723805</v>
      </c>
    </row>
    <row r="857" spans="15:23" x14ac:dyDescent="0.25">
      <c r="O857" s="1">
        <f t="shared" si="70"/>
        <v>652</v>
      </c>
      <c r="Q857" s="12">
        <f t="shared" si="66"/>
        <v>1.6095739257794553E-3</v>
      </c>
      <c r="S857" s="13">
        <f t="shared" si="67"/>
        <v>1.0494421996082048</v>
      </c>
      <c r="U857" s="13">
        <f t="shared" si="68"/>
        <v>0.72430826660075487</v>
      </c>
      <c r="V857" s="12"/>
      <c r="W857" s="13">
        <f t="shared" si="69"/>
        <v>0.30619960677117347</v>
      </c>
    </row>
    <row r="858" spans="15:23" x14ac:dyDescent="0.25">
      <c r="O858" s="1">
        <f t="shared" si="70"/>
        <v>651</v>
      </c>
      <c r="Q858" s="12">
        <f t="shared" si="66"/>
        <v>1.6234940383887612E-3</v>
      </c>
      <c r="S858" s="13">
        <f t="shared" si="67"/>
        <v>1.0568946189910835</v>
      </c>
      <c r="U858" s="13">
        <f t="shared" si="68"/>
        <v>0.73057231727494254</v>
      </c>
      <c r="V858" s="12"/>
      <c r="W858" s="13">
        <f t="shared" si="69"/>
        <v>0.30731877027383997</v>
      </c>
    </row>
    <row r="859" spans="15:23" x14ac:dyDescent="0.25">
      <c r="O859" s="1">
        <f t="shared" si="70"/>
        <v>650</v>
      </c>
      <c r="Q859" s="12">
        <f t="shared" si="66"/>
        <v>1.6374785599071022E-3</v>
      </c>
      <c r="S859" s="13">
        <f t="shared" si="67"/>
        <v>1.0643610639396164</v>
      </c>
      <c r="U859" s="13">
        <f t="shared" si="68"/>
        <v>0.73686535195819602</v>
      </c>
      <c r="V859" s="12"/>
      <c r="W859" s="13">
        <f t="shared" si="69"/>
        <v>0.3084238464450238</v>
      </c>
    </row>
    <row r="860" spans="15:23" x14ac:dyDescent="0.25">
      <c r="O860" s="1">
        <f t="shared" si="70"/>
        <v>649</v>
      </c>
      <c r="Q860" s="12">
        <f t="shared" si="66"/>
        <v>1.651526790424422E-3</v>
      </c>
      <c r="S860" s="13">
        <f t="shared" si="67"/>
        <v>1.0718408869854499</v>
      </c>
      <c r="U860" s="13">
        <f t="shared" si="68"/>
        <v>0.74318705569098997</v>
      </c>
      <c r="V860" s="12"/>
      <c r="W860" s="13">
        <f t="shared" si="69"/>
        <v>0.30951452213970337</v>
      </c>
    </row>
    <row r="861" spans="15:23" x14ac:dyDescent="0.25">
      <c r="O861" s="1">
        <f t="shared" si="70"/>
        <v>648</v>
      </c>
      <c r="Q861" s="12">
        <f t="shared" si="66"/>
        <v>1.665638008137973E-3</v>
      </c>
      <c r="S861" s="13">
        <f t="shared" si="67"/>
        <v>1.0793334292734065</v>
      </c>
      <c r="U861" s="13">
        <f t="shared" si="68"/>
        <v>0.74953710366208781</v>
      </c>
      <c r="V861" s="12"/>
      <c r="W861" s="13">
        <f t="shared" si="69"/>
        <v>0.31059048276714252</v>
      </c>
    </row>
    <row r="862" spans="15:23" x14ac:dyDescent="0.25">
      <c r="O862" s="1">
        <f t="shared" si="70"/>
        <v>647</v>
      </c>
      <c r="Q862" s="12">
        <f t="shared" si="66"/>
        <v>1.6798114691239569E-3</v>
      </c>
      <c r="S862" s="13">
        <f t="shared" si="67"/>
        <v>1.0868380205232002</v>
      </c>
      <c r="U862" s="13">
        <f t="shared" si="68"/>
        <v>0.75591516110578061</v>
      </c>
      <c r="V862" s="12"/>
      <c r="W862" s="13">
        <f t="shared" si="69"/>
        <v>0.31165141235161209</v>
      </c>
    </row>
    <row r="863" spans="15:23" x14ac:dyDescent="0.25">
      <c r="O863" s="1">
        <f t="shared" si="70"/>
        <v>646</v>
      </c>
      <c r="Q863" s="12">
        <f t="shared" si="66"/>
        <v>1.6940464071111721E-3</v>
      </c>
      <c r="S863" s="13">
        <f t="shared" si="67"/>
        <v>1.0943539789938173</v>
      </c>
      <c r="U863" s="13">
        <f t="shared" si="68"/>
        <v>0.76232088320002744</v>
      </c>
      <c r="V863" s="12"/>
      <c r="W863" s="13">
        <f t="shared" si="69"/>
        <v>0.31269699359477265</v>
      </c>
    </row>
    <row r="864" spans="15:23" x14ac:dyDescent="0.25">
      <c r="O864" s="1">
        <f t="shared" si="70"/>
        <v>645</v>
      </c>
      <c r="Q864" s="12">
        <f t="shared" si="66"/>
        <v>1.7083420332565157E-3</v>
      </c>
      <c r="S864" s="13">
        <f t="shared" si="67"/>
        <v>1.1018806114504527</v>
      </c>
      <c r="U864" s="13">
        <f t="shared" si="68"/>
        <v>0.76875391496543199</v>
      </c>
      <c r="V864" s="12"/>
      <c r="W864" s="13">
        <f t="shared" si="69"/>
        <v>0.31372690793967711</v>
      </c>
    </row>
    <row r="865" spans="15:23" x14ac:dyDescent="0.25">
      <c r="O865" s="1">
        <f t="shared" si="70"/>
        <v>644</v>
      </c>
      <c r="Q865" s="12">
        <f t="shared" si="66"/>
        <v>1.7226975359227702E-3</v>
      </c>
      <c r="S865" s="13">
        <f t="shared" si="67"/>
        <v>1.1094172131342639</v>
      </c>
      <c r="U865" s="13">
        <f t="shared" si="68"/>
        <v>0.77521389116524653</v>
      </c>
      <c r="V865" s="12"/>
      <c r="W865" s="13">
        <f t="shared" si="69"/>
        <v>0.31474083563645816</v>
      </c>
    </row>
    <row r="866" spans="15:23" x14ac:dyDescent="0.25">
      <c r="O866" s="1">
        <f t="shared" si="70"/>
        <v>643</v>
      </c>
      <c r="Q866" s="12">
        <f t="shared" si="66"/>
        <v>1.7371120804586251E-3</v>
      </c>
      <c r="S866" s="13">
        <f t="shared" si="67"/>
        <v>1.1169630677348958</v>
      </c>
      <c r="U866" s="13">
        <f t="shared" si="68"/>
        <v>0.7817004362063813</v>
      </c>
      <c r="V866" s="12"/>
      <c r="W866" s="13">
        <f t="shared" si="69"/>
        <v>0.31573845580967935</v>
      </c>
    </row>
    <row r="867" spans="15:23" x14ac:dyDescent="0.25">
      <c r="O867" s="1">
        <f t="shared" si="70"/>
        <v>642</v>
      </c>
      <c r="Q867" s="12">
        <f t="shared" si="66"/>
        <v>1.7515848089810617E-3</v>
      </c>
      <c r="S867" s="13">
        <f t="shared" si="67"/>
        <v>1.1245174473658415</v>
      </c>
      <c r="U867" s="13">
        <f t="shared" si="68"/>
        <v>0.78821316404147779</v>
      </c>
      <c r="V867" s="12"/>
      <c r="W867" s="13">
        <f t="shared" si="69"/>
        <v>0.3167194465273544</v>
      </c>
    </row>
    <row r="868" spans="15:23" x14ac:dyDescent="0.25">
      <c r="O868" s="1">
        <f t="shared" si="70"/>
        <v>641</v>
      </c>
      <c r="Q868" s="12">
        <f t="shared" si="66"/>
        <v>1.7661148401603764E-3</v>
      </c>
      <c r="S868" s="13">
        <f t="shared" si="67"/>
        <v>1.1320796125428012</v>
      </c>
      <c r="U868" s="13">
        <f t="shared" si="68"/>
        <v>0.7947516780721694</v>
      </c>
      <c r="V868" s="12"/>
      <c r="W868" s="13">
        <f t="shared" si="69"/>
        <v>0.31768348487167258</v>
      </c>
    </row>
    <row r="869" spans="15:23" x14ac:dyDescent="0.25">
      <c r="O869" s="1">
        <f t="shared" si="70"/>
        <v>640</v>
      </c>
      <c r="Q869" s="12">
        <f t="shared" si="66"/>
        <v>1.7807012690078034E-3</v>
      </c>
      <c r="S869" s="13">
        <f t="shared" si="67"/>
        <v>1.1396488121649941</v>
      </c>
      <c r="U869" s="13">
        <f t="shared" si="68"/>
        <v>0.80131557105351159</v>
      </c>
      <c r="V869" s="12"/>
      <c r="W869" s="13">
        <f t="shared" si="69"/>
        <v>0.31863024701140252</v>
      </c>
    </row>
    <row r="870" spans="15:23" x14ac:dyDescent="0.25">
      <c r="O870" s="1">
        <f t="shared" si="70"/>
        <v>639</v>
      </c>
      <c r="Q870" s="12">
        <f t="shared" si="66"/>
        <v>1.7953431666660352E-3</v>
      </c>
      <c r="S870" s="13">
        <f t="shared" si="67"/>
        <v>1.1472242834995965</v>
      </c>
      <c r="U870" s="13">
        <f t="shared" si="68"/>
        <v>0.80790442499971582</v>
      </c>
      <c r="V870" s="12"/>
      <c r="W870" s="13">
        <f t="shared" si="69"/>
        <v>0.31955940827601337</v>
      </c>
    </row>
    <row r="871" spans="15:23" x14ac:dyDescent="0.25">
      <c r="O871" s="1">
        <f t="shared" si="70"/>
        <v>638</v>
      </c>
      <c r="Q871" s="12">
        <f t="shared" si="66"/>
        <v>1.8100395802026444E-3</v>
      </c>
      <c r="S871" s="13">
        <f t="shared" si="67"/>
        <v>1.1548052521692871</v>
      </c>
      <c r="U871" s="13">
        <f t="shared" si="68"/>
        <v>0.81451781109119004</v>
      </c>
      <c r="V871" s="12"/>
      <c r="W871" s="13">
        <f t="shared" si="69"/>
        <v>0.3204706432314916</v>
      </c>
    </row>
    <row r="872" spans="15:23" x14ac:dyDescent="0.25">
      <c r="O872" s="1">
        <f t="shared" si="70"/>
        <v>637</v>
      </c>
      <c r="Q872" s="12">
        <f t="shared" si="66"/>
        <v>1.8247895324066663E-3</v>
      </c>
      <c r="S872" s="13">
        <f t="shared" si="67"/>
        <v>1.1623909321430466</v>
      </c>
      <c r="U872" s="13">
        <f t="shared" si="68"/>
        <v>0.82115528958299988</v>
      </c>
      <c r="V872" s="12"/>
      <c r="W872" s="13">
        <f t="shared" si="69"/>
        <v>0.3213636257578838</v>
      </c>
    </row>
    <row r="873" spans="15:23" x14ac:dyDescent="0.25">
      <c r="O873" s="1">
        <f t="shared" si="70"/>
        <v>636</v>
      </c>
      <c r="Q873" s="12">
        <f t="shared" si="66"/>
        <v>1.8395920215884124E-3</v>
      </c>
      <c r="S873" s="13">
        <f t="shared" si="67"/>
        <v>1.1699805257302303</v>
      </c>
      <c r="U873" s="13">
        <f t="shared" si="68"/>
        <v>0.82781640971478554</v>
      </c>
      <c r="V873" s="12"/>
      <c r="W873" s="13">
        <f t="shared" si="69"/>
        <v>0.32223802912855204</v>
      </c>
    </row>
    <row r="874" spans="15:23" x14ac:dyDescent="0.25">
      <c r="O874" s="1">
        <f t="shared" si="70"/>
        <v>635</v>
      </c>
      <c r="Q874" s="12">
        <f t="shared" si="66"/>
        <v>1.8544460213827032E-3</v>
      </c>
      <c r="S874" s="13">
        <f t="shared" si="67"/>
        <v>1.1775732235780165</v>
      </c>
      <c r="U874" s="13">
        <f t="shared" si="68"/>
        <v>0.83450070962221645</v>
      </c>
      <c r="V874" s="12"/>
      <c r="W874" s="13">
        <f t="shared" si="69"/>
        <v>0.32309352609115971</v>
      </c>
    </row>
    <row r="875" spans="15:23" x14ac:dyDescent="0.25">
      <c r="O875" s="1">
        <f t="shared" si="70"/>
        <v>634</v>
      </c>
      <c r="Q875" s="12">
        <f t="shared" si="66"/>
        <v>1.869350480555655E-3</v>
      </c>
      <c r="S875" s="13">
        <f t="shared" si="67"/>
        <v>1.1851682046722853</v>
      </c>
      <c r="U875" s="13">
        <f t="shared" si="68"/>
        <v>0.84120771625004476</v>
      </c>
      <c r="V875" s="12"/>
      <c r="W875" s="13">
        <f t="shared" si="69"/>
        <v>0.32392978895038177</v>
      </c>
    </row>
    <row r="876" spans="15:23" x14ac:dyDescent="0.25">
      <c r="O876" s="1">
        <f t="shared" si="70"/>
        <v>633</v>
      </c>
      <c r="Q876" s="12">
        <f t="shared" si="66"/>
        <v>1.8843043228151688E-3</v>
      </c>
      <c r="S876" s="13">
        <f t="shared" si="67"/>
        <v>1.1927646363420019</v>
      </c>
      <c r="U876" s="13">
        <f t="shared" si="68"/>
        <v>0.84793694526682595</v>
      </c>
      <c r="V876" s="12"/>
      <c r="W876" s="13">
        <f t="shared" si="69"/>
        <v>0.32474648965234648</v>
      </c>
    </row>
    <row r="877" spans="15:23" x14ac:dyDescent="0.25">
      <c r="O877" s="1">
        <f t="shared" si="70"/>
        <v>632</v>
      </c>
      <c r="Q877" s="12">
        <f t="shared" si="66"/>
        <v>1.8993064466253022E-3</v>
      </c>
      <c r="S877" s="13">
        <f t="shared" si="67"/>
        <v>1.200361674267191</v>
      </c>
      <c r="U877" s="13">
        <f t="shared" si="68"/>
        <v>0.85468790098138603</v>
      </c>
      <c r="V877" s="12"/>
      <c r="W877" s="13">
        <f t="shared" si="69"/>
        <v>0.32554329987081343</v>
      </c>
    </row>
    <row r="878" spans="15:23" x14ac:dyDescent="0.25">
      <c r="O878" s="1">
        <f t="shared" si="70"/>
        <v>631</v>
      </c>
      <c r="Q878" s="12">
        <f t="shared" si="66"/>
        <v>1.9143557250246809E-3</v>
      </c>
      <c r="S878" s="13">
        <f t="shared" si="67"/>
        <v>1.2079584624905737</v>
      </c>
      <c r="U878" s="13">
        <f t="shared" si="68"/>
        <v>0.86146007626110643</v>
      </c>
      <c r="V878" s="12"/>
      <c r="W878" s="13">
        <f t="shared" si="69"/>
        <v>0.32631989109508913</v>
      </c>
    </row>
    <row r="879" spans="15:23" x14ac:dyDescent="0.25">
      <c r="O879" s="1">
        <f t="shared" si="70"/>
        <v>630</v>
      </c>
      <c r="Q879" s="12">
        <f t="shared" si="66"/>
        <v>1.9294510054490236E-3</v>
      </c>
      <c r="S879" s="13">
        <f t="shared" si="67"/>
        <v>1.2155541334328848</v>
      </c>
      <c r="U879" s="13">
        <f t="shared" si="68"/>
        <v>0.86825295245206058</v>
      </c>
      <c r="V879" s="12"/>
      <c r="W879" s="13">
        <f t="shared" si="69"/>
        <v>0.32707593471966462</v>
      </c>
    </row>
    <row r="880" spans="15:23" x14ac:dyDescent="0.25">
      <c r="O880" s="1">
        <f t="shared" si="70"/>
        <v>629</v>
      </c>
      <c r="Q880" s="12">
        <f t="shared" si="66"/>
        <v>1.9445911095581114E-3</v>
      </c>
      <c r="S880" s="13">
        <f t="shared" si="67"/>
        <v>1.2231478079120521</v>
      </c>
      <c r="U880" s="13">
        <f t="shared" si="68"/>
        <v>0.87506599930115014</v>
      </c>
      <c r="V880" s="12"/>
      <c r="W880" s="13">
        <f t="shared" si="69"/>
        <v>0.32781110213560782</v>
      </c>
    </row>
    <row r="881" spans="15:23" x14ac:dyDescent="0.25">
      <c r="O881" s="1">
        <f t="shared" si="70"/>
        <v>628</v>
      </c>
      <c r="Q881" s="12">
        <f t="shared" si="66"/>
        <v>1.9597748330672082E-3</v>
      </c>
      <c r="S881" s="13">
        <f t="shared" si="67"/>
        <v>1.2307385951662067</v>
      </c>
      <c r="U881" s="13">
        <f t="shared" si="68"/>
        <v>0.88189867488024365</v>
      </c>
      <c r="V881" s="12"/>
      <c r="W881" s="13">
        <f t="shared" si="69"/>
        <v>0.32852506482367644</v>
      </c>
    </row>
    <row r="882" spans="15:23" x14ac:dyDescent="0.25">
      <c r="O882" s="1">
        <f t="shared" si="70"/>
        <v>627</v>
      </c>
      <c r="Q882" s="12">
        <f t="shared" si="66"/>
        <v>1.9750009455831393E-3</v>
      </c>
      <c r="S882" s="13">
        <f t="shared" si="67"/>
        <v>1.2383255928806283</v>
      </c>
      <c r="U882" s="13">
        <f t="shared" si="68"/>
        <v>0.88875042551241268</v>
      </c>
      <c r="V882" s="12"/>
      <c r="W882" s="13">
        <f t="shared" si="69"/>
        <v>0.32921749444916326</v>
      </c>
    </row>
    <row r="883" spans="15:23" x14ac:dyDescent="0.25">
      <c r="O883" s="1">
        <f t="shared" si="70"/>
        <v>626</v>
      </c>
      <c r="Q883" s="12">
        <f t="shared" si="66"/>
        <v>1.9902681904453096E-3</v>
      </c>
      <c r="S883" s="13">
        <f t="shared" si="67"/>
        <v>1.2459078872187639</v>
      </c>
      <c r="U883" s="13">
        <f t="shared" si="68"/>
        <v>0.89562068570038933</v>
      </c>
      <c r="V883" s="12"/>
      <c r="W883" s="13">
        <f t="shared" si="69"/>
        <v>0.32988806295848377</v>
      </c>
    </row>
    <row r="884" spans="15:23" x14ac:dyDescent="0.25">
      <c r="O884" s="1">
        <f t="shared" si="70"/>
        <v>625</v>
      </c>
      <c r="Q884" s="12">
        <f t="shared" si="66"/>
        <v>2.0055752845716114E-3</v>
      </c>
      <c r="S884" s="13">
        <f t="shared" si="67"/>
        <v>1.2534845528572571</v>
      </c>
      <c r="U884" s="13">
        <f t="shared" si="68"/>
        <v>0.90250887805722513</v>
      </c>
      <c r="V884" s="12"/>
      <c r="W884" s="13">
        <f t="shared" si="69"/>
        <v>0.33053644267746907</v>
      </c>
    </row>
    <row r="885" spans="15:23" x14ac:dyDescent="0.25">
      <c r="O885" s="1">
        <f t="shared" si="70"/>
        <v>624</v>
      </c>
      <c r="Q885" s="12">
        <f t="shared" si="66"/>
        <v>2.0209209183096209E-3</v>
      </c>
      <c r="S885" s="13">
        <f t="shared" si="67"/>
        <v>1.2610546530252034</v>
      </c>
      <c r="U885" s="13">
        <f t="shared" si="68"/>
        <v>0.90941441323932937</v>
      </c>
      <c r="V885" s="12"/>
      <c r="W885" s="13">
        <f t="shared" si="69"/>
        <v>0.33116230641139699</v>
      </c>
    </row>
    <row r="886" spans="15:23" x14ac:dyDescent="0.25">
      <c r="O886" s="1">
        <f t="shared" si="70"/>
        <v>623</v>
      </c>
      <c r="Q886" s="12">
        <f t="shared" si="66"/>
        <v>2.0363037552931372E-3</v>
      </c>
      <c r="S886" s="13">
        <f t="shared" si="67"/>
        <v>1.2686172395476245</v>
      </c>
      <c r="U886" s="13">
        <f t="shared" si="68"/>
        <v>0.91633668988191175</v>
      </c>
      <c r="V886" s="12"/>
      <c r="W886" s="13">
        <f t="shared" si="69"/>
        <v>0.33176532754673277</v>
      </c>
    </row>
    <row r="887" spans="15:23" x14ac:dyDescent="0.25">
      <c r="O887" s="1">
        <f t="shared" si="70"/>
        <v>622</v>
      </c>
      <c r="Q887" s="12">
        <f t="shared" si="66"/>
        <v>2.0517224323042039E-3</v>
      </c>
      <c r="S887" s="13">
        <f t="shared" si="67"/>
        <v>1.2761713528932148</v>
      </c>
      <c r="U887" s="13">
        <f t="shared" si="68"/>
        <v>0.92327509453689172</v>
      </c>
      <c r="V887" s="12"/>
      <c r="W887" s="13">
        <f t="shared" si="69"/>
        <v>0.33234518015456915</v>
      </c>
    </row>
    <row r="888" spans="15:23" x14ac:dyDescent="0.25">
      <c r="O888" s="1">
        <f t="shared" si="70"/>
        <v>621</v>
      </c>
      <c r="Q888" s="12">
        <f t="shared" si="66"/>
        <v>2.0671755591409177E-3</v>
      </c>
      <c r="S888" s="13">
        <f t="shared" si="67"/>
        <v>1.2837160222265098</v>
      </c>
      <c r="U888" s="13">
        <f t="shared" si="68"/>
        <v>0.93022900161341293</v>
      </c>
      <c r="V888" s="12"/>
      <c r="W888" s="13">
        <f t="shared" si="69"/>
        <v>0.33290153909577891</v>
      </c>
    </row>
    <row r="889" spans="15:23" x14ac:dyDescent="0.25">
      <c r="O889" s="1">
        <f t="shared" si="70"/>
        <v>620</v>
      </c>
      <c r="Q889" s="12">
        <f t="shared" si="66"/>
        <v>2.0826617184911077E-3</v>
      </c>
      <c r="S889" s="13">
        <f t="shared" si="67"/>
        <v>1.2912502654644868</v>
      </c>
      <c r="U889" s="13">
        <f t="shared" si="68"/>
        <v>0.93719777332099852</v>
      </c>
      <c r="V889" s="12"/>
      <c r="W889" s="13">
        <f t="shared" si="69"/>
        <v>0.33343408012785319</v>
      </c>
    </row>
    <row r="890" spans="15:23" x14ac:dyDescent="0.25">
      <c r="O890" s="1">
        <f t="shared" si="70"/>
        <v>619</v>
      </c>
      <c r="Q890" s="12">
        <f t="shared" si="66"/>
        <v>2.0981794658120937E-3</v>
      </c>
      <c r="S890" s="13">
        <f t="shared" si="67"/>
        <v>1.2987730893376861</v>
      </c>
      <c r="U890" s="13">
        <f t="shared" si="68"/>
        <v>0.94418075961544212</v>
      </c>
      <c r="V890" s="12"/>
      <c r="W890" s="13">
        <f t="shared" si="69"/>
        <v>0.33394248001342125</v>
      </c>
    </row>
    <row r="891" spans="15:23" x14ac:dyDescent="0.25">
      <c r="O891" s="1">
        <f t="shared" si="70"/>
        <v>618</v>
      </c>
      <c r="Q891" s="12">
        <f t="shared" si="66"/>
        <v>2.1137273292166866E-3</v>
      </c>
      <c r="S891" s="13">
        <f t="shared" si="67"/>
        <v>1.3062834894559123</v>
      </c>
      <c r="U891" s="13">
        <f t="shared" si="68"/>
        <v>0.95117729814750895</v>
      </c>
      <c r="V891" s="12"/>
      <c r="W891" s="13">
        <f t="shared" si="69"/>
        <v>0.33442641663043748</v>
      </c>
    </row>
    <row r="892" spans="15:23" x14ac:dyDescent="0.25">
      <c r="O892" s="1">
        <f t="shared" si="70"/>
        <v>617</v>
      </c>
      <c r="Q892" s="12">
        <f t="shared" si="66"/>
        <v>2.1293038093656677E-3</v>
      </c>
      <c r="S892" s="13">
        <f t="shared" si="67"/>
        <v>1.313780450378617</v>
      </c>
      <c r="U892" s="13">
        <f t="shared" si="68"/>
        <v>0.95818671421455048</v>
      </c>
      <c r="V892" s="12"/>
      <c r="W892" s="13">
        <f t="shared" si="69"/>
        <v>0.3348855690840325</v>
      </c>
    </row>
    <row r="893" spans="15:23" x14ac:dyDescent="0.25">
      <c r="O893" s="1">
        <f t="shared" si="70"/>
        <v>616</v>
      </c>
      <c r="Q893" s="12">
        <f t="shared" si="66"/>
        <v>2.1449073793669347E-3</v>
      </c>
      <c r="S893" s="13">
        <f t="shared" si="67"/>
        <v>1.3212629456900318</v>
      </c>
      <c r="U893" s="13">
        <f t="shared" si="68"/>
        <v>0.96520832071512064</v>
      </c>
      <c r="V893" s="12"/>
      <c r="W893" s="13">
        <f t="shared" si="69"/>
        <v>0.33531961782001179</v>
      </c>
    </row>
    <row r="894" spans="15:23" x14ac:dyDescent="0.25">
      <c r="O894" s="1">
        <f t="shared" si="70"/>
        <v>615</v>
      </c>
      <c r="Q894" s="12">
        <f t="shared" si="66"/>
        <v>2.1605364846813461E-3</v>
      </c>
      <c r="S894" s="13">
        <f t="shared" si="67"/>
        <v>1.3287299380790278</v>
      </c>
      <c r="U894" s="13">
        <f t="shared" si="68"/>
        <v>0.97224141810660569</v>
      </c>
      <c r="V894" s="12"/>
      <c r="W894" s="13">
        <f t="shared" si="69"/>
        <v>0.33572824473996726</v>
      </c>
    </row>
    <row r="895" spans="15:23" x14ac:dyDescent="0.25">
      <c r="O895" s="1">
        <f t="shared" si="70"/>
        <v>614</v>
      </c>
      <c r="Q895" s="12">
        <f t="shared" si="66"/>
        <v>2.1761895430357382E-3</v>
      </c>
      <c r="S895" s="13">
        <f t="shared" si="67"/>
        <v>1.3361803794239433</v>
      </c>
      <c r="U895" s="13">
        <f t="shared" si="68"/>
        <v>0.97928529436608214</v>
      </c>
      <c r="V895" s="12"/>
      <c r="W895" s="13">
        <f t="shared" si="69"/>
        <v>0.33611113331802739</v>
      </c>
    </row>
    <row r="896" spans="15:23" x14ac:dyDescent="0.25">
      <c r="O896" s="1">
        <f t="shared" si="70"/>
        <v>613</v>
      </c>
      <c r="Q896" s="12">
        <f t="shared" si="66"/>
        <v>2.1918649443430195E-3</v>
      </c>
      <c r="S896" s="13">
        <f t="shared" si="67"/>
        <v>1.3436132108822709</v>
      </c>
      <c r="U896" s="13">
        <f t="shared" si="68"/>
        <v>0.98633922495435877</v>
      </c>
      <c r="V896" s="12"/>
      <c r="W896" s="13">
        <f t="shared" si="69"/>
        <v>0.33646796871918561</v>
      </c>
    </row>
    <row r="897" spans="15:23" x14ac:dyDescent="0.25">
      <c r="O897" s="1">
        <f t="shared" si="70"/>
        <v>612</v>
      </c>
      <c r="Q897" s="12">
        <f t="shared" si="66"/>
        <v>2.207561050629761E-3</v>
      </c>
      <c r="S897" s="13">
        <f t="shared" si="67"/>
        <v>1.3510273629854137</v>
      </c>
      <c r="U897" s="13">
        <f t="shared" si="68"/>
        <v>0.99340247278339244</v>
      </c>
      <c r="V897" s="12"/>
      <c r="W897" s="13">
        <f t="shared" si="69"/>
        <v>0.3367984379192247</v>
      </c>
    </row>
    <row r="898" spans="15:23" x14ac:dyDescent="0.25">
      <c r="O898" s="1">
        <f t="shared" si="70"/>
        <v>611</v>
      </c>
      <c r="Q898" s="12">
        <f t="shared" si="66"/>
        <v>2.2232761959712754E-3</v>
      </c>
      <c r="S898" s="13">
        <f t="shared" si="67"/>
        <v>1.3584217557384493</v>
      </c>
      <c r="U898" s="13">
        <f t="shared" si="68"/>
        <v>1.0004742881870738</v>
      </c>
      <c r="V898" s="12"/>
      <c r="W898" s="13">
        <f t="shared" si="69"/>
        <v>0.33710222982618404</v>
      </c>
    </row>
    <row r="899" spans="15:23" x14ac:dyDescent="0.25">
      <c r="O899" s="1">
        <f t="shared" si="70"/>
        <v>610</v>
      </c>
      <c r="Q899" s="12">
        <f t="shared" si="66"/>
        <v>2.2390086864345895E-3</v>
      </c>
      <c r="S899" s="13">
        <f t="shared" si="67"/>
        <v>1.3657952987250996</v>
      </c>
      <c r="U899" s="13">
        <f t="shared" si="68"/>
        <v>1.0075539088955652</v>
      </c>
      <c r="V899" s="12"/>
      <c r="W899" s="13">
        <f t="shared" si="69"/>
        <v>0.33737903540338454</v>
      </c>
    </row>
    <row r="900" spans="15:23" x14ac:dyDescent="0.25">
      <c r="O900" s="1">
        <f t="shared" si="70"/>
        <v>609</v>
      </c>
      <c r="Q900" s="12">
        <f t="shared" si="66"/>
        <v>2.2547568000293164E-3</v>
      </c>
      <c r="S900" s="13">
        <f t="shared" si="67"/>
        <v>1.3731468912178537</v>
      </c>
      <c r="U900" s="13">
        <f t="shared" si="68"/>
        <v>1.0146405600131922</v>
      </c>
      <c r="V900" s="12"/>
      <c r="W900" s="13">
        <f t="shared" si="69"/>
        <v>0.33762854779395818</v>
      </c>
    </row>
    <row r="901" spans="15:23" x14ac:dyDescent="0.25">
      <c r="O901" s="1">
        <f t="shared" si="70"/>
        <v>608</v>
      </c>
      <c r="Q901" s="12">
        <f t="shared" si="66"/>
        <v>2.2705187866667461E-3</v>
      </c>
      <c r="S901" s="13">
        <f t="shared" si="67"/>
        <v>1.3804754222933817</v>
      </c>
      <c r="U901" s="13">
        <f t="shared" si="68"/>
        <v>1.0217334540000358</v>
      </c>
      <c r="V901" s="12"/>
      <c r="W901" s="13">
        <f t="shared" si="69"/>
        <v>0.33785046244687827</v>
      </c>
    </row>
    <row r="902" spans="15:23" x14ac:dyDescent="0.25">
      <c r="O902" s="1">
        <f t="shared" si="70"/>
        <v>607</v>
      </c>
      <c r="Q902" s="12">
        <f t="shared" si="66"/>
        <v>2.2862928681273414E-3</v>
      </c>
      <c r="S902" s="13">
        <f t="shared" si="67"/>
        <v>1.3877797709532962</v>
      </c>
      <c r="U902" s="13">
        <f t="shared" si="68"/>
        <v>1.0288317906573037</v>
      </c>
      <c r="V902" s="12"/>
      <c r="W902" s="13">
        <f t="shared" si="69"/>
        <v>0.33804447724446346</v>
      </c>
    </row>
    <row r="903" spans="15:23" x14ac:dyDescent="0.25">
      <c r="O903" s="1">
        <f t="shared" si="70"/>
        <v>606</v>
      </c>
      <c r="Q903" s="12">
        <f t="shared" si="66"/>
        <v>2.3020772380367427E-3</v>
      </c>
      <c r="S903" s="13">
        <f t="shared" si="67"/>
        <v>1.395058806250266</v>
      </c>
      <c r="U903" s="13">
        <f t="shared" si="68"/>
        <v>1.0359347571165343</v>
      </c>
      <c r="V903" s="12"/>
      <c r="W903" s="13">
        <f t="shared" si="69"/>
        <v>0.33821029263131569</v>
      </c>
    </row>
    <row r="904" spans="15:23" x14ac:dyDescent="0.25">
      <c r="O904" s="1">
        <f t="shared" si="70"/>
        <v>605</v>
      </c>
      <c r="Q904" s="12">
        <f t="shared" si="66"/>
        <v>2.3178700618506085E-3</v>
      </c>
      <c r="S904" s="13">
        <f t="shared" si="67"/>
        <v>1.402311387419618</v>
      </c>
      <c r="U904" s="13">
        <f t="shared" si="68"/>
        <v>1.0430415278327738</v>
      </c>
      <c r="V904" s="12"/>
      <c r="W904" s="13">
        <f t="shared" si="69"/>
        <v>0.33834761174468286</v>
      </c>
    </row>
    <row r="905" spans="15:23" x14ac:dyDescent="0.25">
      <c r="O905" s="1">
        <f t="shared" si="70"/>
        <v>604</v>
      </c>
      <c r="Q905" s="12">
        <f t="shared" si="66"/>
        <v>2.3336694768484644E-3</v>
      </c>
      <c r="S905" s="13">
        <f t="shared" si="67"/>
        <v>1.4095363640164724</v>
      </c>
      <c r="U905" s="13">
        <f t="shared" si="68"/>
        <v>1.050151264581809</v>
      </c>
      <c r="V905" s="12"/>
      <c r="W905" s="13">
        <f t="shared" si="69"/>
        <v>0.3384561405462147</v>
      </c>
    </row>
    <row r="906" spans="15:23" x14ac:dyDescent="0.25">
      <c r="O906" s="1">
        <f t="shared" si="70"/>
        <v>603</v>
      </c>
      <c r="Q906" s="12">
        <f t="shared" ref="Q906:Q969" si="71">_xlfn.LOGNORM.DIST(O906,$D$25,$D$26,FALSE)</f>
        <v>2.3494735921366144E-3</v>
      </c>
      <c r="S906" s="13">
        <f t="shared" ref="S906:S969" si="72">IF(O906&gt;$D$6,O906*Q906,0)</f>
        <v>1.4167325760583784</v>
      </c>
      <c r="U906" s="13">
        <f t="shared" ref="U906:U969" si="73">IF(O906&gt;$D$6,$D$6*Q906,0)</f>
        <v>1.0572631164614765</v>
      </c>
      <c r="V906" s="12"/>
      <c r="W906" s="13">
        <f t="shared" ref="W906:W969" si="74">(S906-U906)*EXP(-$D$9*$D$7)</f>
        <v>0.33853558795505828</v>
      </c>
    </row>
    <row r="907" spans="15:23" x14ac:dyDescent="0.25">
      <c r="O907" s="1">
        <f t="shared" ref="O907:O970" si="75">O906-1</f>
        <v>602</v>
      </c>
      <c r="Q907" s="12">
        <f t="shared" si="71"/>
        <v>2.3652804886606029E-3</v>
      </c>
      <c r="S907" s="13">
        <f t="shared" si="72"/>
        <v>1.423898854173683</v>
      </c>
      <c r="U907" s="13">
        <f t="shared" si="73"/>
        <v>1.0643762198972713</v>
      </c>
      <c r="V907" s="12"/>
      <c r="W907" s="13">
        <f t="shared" si="74"/>
        <v>0.33858566598230533</v>
      </c>
    </row>
    <row r="908" spans="15:23" x14ac:dyDescent="0.25">
      <c r="O908" s="1">
        <f t="shared" si="75"/>
        <v>601</v>
      </c>
      <c r="Q908" s="12">
        <f t="shared" si="71"/>
        <v>2.3810882192271052E-3</v>
      </c>
      <c r="S908" s="13">
        <f t="shared" si="72"/>
        <v>1.4310340197554903</v>
      </c>
      <c r="U908" s="13">
        <f t="shared" si="73"/>
        <v>1.0714896986521973</v>
      </c>
      <c r="V908" s="12"/>
      <c r="W908" s="13">
        <f t="shared" si="74"/>
        <v>0.33860608986670804</v>
      </c>
    </row>
    <row r="909" spans="15:23" x14ac:dyDescent="0.25">
      <c r="O909" s="1">
        <f t="shared" si="75"/>
        <v>600</v>
      </c>
      <c r="Q909" s="12">
        <f t="shared" si="71"/>
        <v>2.3968948085357528E-3</v>
      </c>
      <c r="S909" s="13">
        <f t="shared" si="72"/>
        <v>1.4381368851214518</v>
      </c>
      <c r="U909" s="13">
        <f t="shared" si="73"/>
        <v>1.0786026638410888</v>
      </c>
      <c r="V909" s="12"/>
      <c r="W909" s="13">
        <f t="shared" si="74"/>
        <v>0.3385965782116771</v>
      </c>
    </row>
    <row r="910" spans="15:23" x14ac:dyDescent="0.25">
      <c r="O910" s="1">
        <f t="shared" si="75"/>
        <v>599</v>
      </c>
      <c r="Q910" s="12">
        <f t="shared" si="71"/>
        <v>2.4126982532208519E-3</v>
      </c>
      <c r="S910" s="13">
        <f t="shared" si="72"/>
        <v>1.4452062536792902</v>
      </c>
      <c r="U910" s="13">
        <f t="shared" si="73"/>
        <v>1.0857142139493834</v>
      </c>
      <c r="V910" s="12"/>
      <c r="W910" s="13">
        <f t="shared" si="74"/>
        <v>0.33855685312348593</v>
      </c>
    </row>
    <row r="911" spans="15:23" x14ac:dyDescent="0.25">
      <c r="O911" s="1">
        <f t="shared" si="75"/>
        <v>598</v>
      </c>
      <c r="Q911" s="12">
        <f t="shared" si="71"/>
        <v>2.4284965219033379E-3</v>
      </c>
      <c r="S911" s="13">
        <f t="shared" si="72"/>
        <v>1.4522409200981961</v>
      </c>
      <c r="U911" s="13">
        <f t="shared" si="73"/>
        <v>1.092823434856502</v>
      </c>
      <c r="V911" s="12"/>
      <c r="W911" s="13">
        <f t="shared" si="74"/>
        <v>0.33848664035066756</v>
      </c>
    </row>
    <row r="912" spans="15:23" x14ac:dyDescent="0.25">
      <c r="O912" s="1">
        <f t="shared" si="75"/>
        <v>597</v>
      </c>
      <c r="Q912" s="12">
        <f t="shared" si="71"/>
        <v>2.444287555253148E-3</v>
      </c>
      <c r="S912" s="13">
        <f t="shared" si="72"/>
        <v>1.4592396704861295</v>
      </c>
      <c r="U912" s="13">
        <f t="shared" si="73"/>
        <v>1.0999293998639166</v>
      </c>
      <c r="V912" s="12"/>
      <c r="W912" s="13">
        <f t="shared" si="74"/>
        <v>0.3383856694245585</v>
      </c>
    </row>
    <row r="913" spans="15:23" x14ac:dyDescent="0.25">
      <c r="O913" s="1">
        <f t="shared" si="75"/>
        <v>596</v>
      </c>
      <c r="Q913" s="12">
        <f t="shared" si="71"/>
        <v>2.4600692660622023E-3</v>
      </c>
      <c r="S913" s="13">
        <f t="shared" si="72"/>
        <v>1.4662012825730726</v>
      </c>
      <c r="U913" s="13">
        <f t="shared" si="73"/>
        <v>1.1070311697279911</v>
      </c>
      <c r="V913" s="12"/>
      <c r="W913" s="13">
        <f t="shared" si="74"/>
        <v>0.33825367380095017</v>
      </c>
    </row>
    <row r="914" spans="15:23" x14ac:dyDescent="0.25">
      <c r="O914" s="1">
        <f t="shared" si="75"/>
        <v>595</v>
      </c>
      <c r="Q914" s="12">
        <f t="shared" si="71"/>
        <v>2.4758395393281512E-3</v>
      </c>
      <c r="S914" s="13">
        <f t="shared" si="72"/>
        <v>1.4731245259002499</v>
      </c>
      <c r="U914" s="13">
        <f t="shared" si="73"/>
        <v>1.114127792697668</v>
      </c>
      <c r="V914" s="12"/>
      <c r="W914" s="13">
        <f t="shared" si="74"/>
        <v>0.33809039100279847</v>
      </c>
    </row>
    <row r="915" spans="15:23" x14ac:dyDescent="0.25">
      <c r="O915" s="1">
        <f t="shared" si="75"/>
        <v>594</v>
      </c>
      <c r="Q915" s="12">
        <f t="shared" si="71"/>
        <v>2.4915962323491924E-3</v>
      </c>
      <c r="S915" s="13">
        <f t="shared" si="72"/>
        <v>1.4800081620154202</v>
      </c>
      <c r="U915" s="13">
        <f t="shared" si="73"/>
        <v>1.1212183045571367</v>
      </c>
      <c r="V915" s="12"/>
      <c r="W915" s="13">
        <f t="shared" si="74"/>
        <v>0.33789556276395943</v>
      </c>
    </row>
    <row r="916" spans="15:23" x14ac:dyDescent="0.25">
      <c r="O916" s="1">
        <f t="shared" si="75"/>
        <v>593</v>
      </c>
      <c r="Q916" s="12">
        <f t="shared" si="71"/>
        <v>2.5073371748300715E-3</v>
      </c>
      <c r="S916" s="13">
        <f t="shared" si="72"/>
        <v>1.4868509446742324</v>
      </c>
      <c r="U916" s="13">
        <f t="shared" si="73"/>
        <v>1.1283017286735322</v>
      </c>
      <c r="V916" s="12"/>
      <c r="W916" s="13">
        <f t="shared" si="74"/>
        <v>0.33766893517389751</v>
      </c>
    </row>
    <row r="917" spans="15:23" x14ac:dyDescent="0.25">
      <c r="O917" s="1">
        <f t="shared" si="75"/>
        <v>592</v>
      </c>
      <c r="Q917" s="12">
        <f t="shared" si="71"/>
        <v>2.5230601689995515E-3</v>
      </c>
      <c r="S917" s="13">
        <f t="shared" si="72"/>
        <v>1.4936516200477346</v>
      </c>
      <c r="U917" s="13">
        <f t="shared" si="73"/>
        <v>1.1353770760497981</v>
      </c>
      <c r="V917" s="12"/>
      <c r="W917" s="13">
        <f t="shared" si="74"/>
        <v>0.33741025882332604</v>
      </c>
    </row>
    <row r="918" spans="15:23" x14ac:dyDescent="0.25">
      <c r="O918" s="1">
        <f t="shared" si="75"/>
        <v>591</v>
      </c>
      <c r="Q918" s="12">
        <f t="shared" si="71"/>
        <v>2.5387629897393993E-3</v>
      </c>
      <c r="S918" s="13">
        <f t="shared" si="72"/>
        <v>1.500408926935985</v>
      </c>
      <c r="U918" s="13">
        <f t="shared" si="73"/>
        <v>1.1424433453827296</v>
      </c>
      <c r="V918" s="12"/>
      <c r="W918" s="13">
        <f t="shared" si="74"/>
        <v>0.33711928895071591</v>
      </c>
    </row>
    <row r="919" spans="15:23" x14ac:dyDescent="0.25">
      <c r="O919" s="1">
        <f t="shared" si="75"/>
        <v>590</v>
      </c>
      <c r="Q919" s="12">
        <f t="shared" si="71"/>
        <v>2.5544433847253627E-3</v>
      </c>
      <c r="S919" s="13">
        <f t="shared" si="72"/>
        <v>1.5071215969879639</v>
      </c>
      <c r="U919" s="13">
        <f t="shared" si="73"/>
        <v>1.1494995231264131</v>
      </c>
      <c r="V919" s="12"/>
      <c r="W919" s="13">
        <f t="shared" si="74"/>
        <v>0.33679578558965512</v>
      </c>
    </row>
    <row r="920" spans="15:23" x14ac:dyDescent="0.25">
      <c r="O920" s="1">
        <f t="shared" si="75"/>
        <v>589</v>
      </c>
      <c r="Q920" s="12">
        <f t="shared" si="71"/>
        <v>2.5700990745799821E-3</v>
      </c>
      <c r="S920" s="13">
        <f t="shared" si="72"/>
        <v>1.5137883549276094</v>
      </c>
      <c r="U920" s="13">
        <f t="shared" si="73"/>
        <v>1.156544583560992</v>
      </c>
      <c r="V920" s="12"/>
      <c r="W920" s="13">
        <f t="shared" si="74"/>
        <v>0.33643951371696046</v>
      </c>
    </row>
    <row r="921" spans="15:23" x14ac:dyDescent="0.25">
      <c r="O921" s="1">
        <f t="shared" si="75"/>
        <v>588</v>
      </c>
      <c r="Q921" s="12">
        <f t="shared" si="71"/>
        <v>2.5857277530377848E-3</v>
      </c>
      <c r="S921" s="13">
        <f t="shared" si="72"/>
        <v>1.5204079187862174</v>
      </c>
      <c r="U921" s="13">
        <f t="shared" si="73"/>
        <v>1.1635774888670032</v>
      </c>
      <c r="V921" s="12"/>
      <c r="W921" s="13">
        <f t="shared" si="74"/>
        <v>0.33605024340153572</v>
      </c>
    </row>
    <row r="922" spans="15:23" x14ac:dyDescent="0.25">
      <c r="O922" s="1">
        <f t="shared" si="75"/>
        <v>587</v>
      </c>
      <c r="Q922" s="12">
        <f t="shared" si="71"/>
        <v>2.6013270871228017E-3</v>
      </c>
      <c r="S922" s="13">
        <f t="shared" si="72"/>
        <v>1.5269790001410846</v>
      </c>
      <c r="U922" s="13">
        <f t="shared" si="73"/>
        <v>1.1705971892052607</v>
      </c>
      <c r="V922" s="12"/>
      <c r="W922" s="13">
        <f t="shared" si="74"/>
        <v>0.33562774995388611</v>
      </c>
    </row>
    <row r="923" spans="15:23" x14ac:dyDescent="0.25">
      <c r="O923" s="1">
        <f t="shared" si="75"/>
        <v>586</v>
      </c>
      <c r="Q923" s="12">
        <f t="shared" si="71"/>
        <v>2.6168947173387642E-3</v>
      </c>
      <c r="S923" s="13">
        <f t="shared" si="72"/>
        <v>1.5335003043605158</v>
      </c>
      <c r="U923" s="13">
        <f t="shared" si="73"/>
        <v>1.1776026228024439</v>
      </c>
      <c r="V923" s="12"/>
      <c r="W923" s="13">
        <f t="shared" si="74"/>
        <v>0.33517181407625307</v>
      </c>
    </row>
    <row r="924" spans="15:23" x14ac:dyDescent="0.25">
      <c r="O924" s="1">
        <f t="shared" si="75"/>
        <v>585</v>
      </c>
      <c r="Q924" s="12">
        <f t="shared" si="71"/>
        <v>2.632428257872015E-3</v>
      </c>
      <c r="S924" s="13">
        <f t="shared" si="72"/>
        <v>1.5399705308551288</v>
      </c>
      <c r="U924" s="13">
        <f t="shared" si="73"/>
        <v>1.1845927160424068</v>
      </c>
      <c r="V924" s="12"/>
      <c r="W924" s="13">
        <f t="shared" si="74"/>
        <v>0.33468222201329267</v>
      </c>
    </row>
    <row r="925" spans="15:23" x14ac:dyDescent="0.25">
      <c r="O925" s="1">
        <f t="shared" si="75"/>
        <v>584</v>
      </c>
      <c r="Q925" s="12">
        <f t="shared" si="71"/>
        <v>2.6479252968075991E-3</v>
      </c>
      <c r="S925" s="13">
        <f t="shared" si="72"/>
        <v>1.5463883733356378</v>
      </c>
      <c r="U925" s="13">
        <f t="shared" si="73"/>
        <v>1.1915663835634196</v>
      </c>
      <c r="V925" s="12"/>
      <c r="W925" s="13">
        <f t="shared" si="74"/>
        <v>0.33415876570326819</v>
      </c>
    </row>
    <row r="926" spans="15:23" x14ac:dyDescent="0.25">
      <c r="O926" s="1">
        <f t="shared" si="75"/>
        <v>583</v>
      </c>
      <c r="Q926" s="12">
        <f t="shared" si="71"/>
        <v>2.6633833963583299E-3</v>
      </c>
      <c r="S926" s="13">
        <f t="shared" si="72"/>
        <v>1.5527525200769063</v>
      </c>
      <c r="U926" s="13">
        <f t="shared" si="73"/>
        <v>1.1985225283612484</v>
      </c>
      <c r="V926" s="12"/>
      <c r="W926" s="13">
        <f t="shared" si="74"/>
        <v>0.33360124292964888</v>
      </c>
    </row>
    <row r="927" spans="15:23" x14ac:dyDescent="0.25">
      <c r="O927" s="1">
        <f t="shared" si="75"/>
        <v>582</v>
      </c>
      <c r="Q927" s="12">
        <f t="shared" si="71"/>
        <v>2.6788000931074287E-3</v>
      </c>
      <c r="S927" s="13">
        <f t="shared" si="72"/>
        <v>1.5590616541885236</v>
      </c>
      <c r="U927" s="13">
        <f t="shared" si="73"/>
        <v>1.205460041898343</v>
      </c>
      <c r="V927" s="12"/>
      <c r="W927" s="13">
        <f t="shared" si="74"/>
        <v>0.33300945747310029</v>
      </c>
    </row>
    <row r="928" spans="15:23" x14ac:dyDescent="0.25">
      <c r="O928" s="1">
        <f t="shared" si="75"/>
        <v>581</v>
      </c>
      <c r="Q928" s="12">
        <f t="shared" si="71"/>
        <v>2.694172898264667E-3</v>
      </c>
      <c r="S928" s="13">
        <f t="shared" si="72"/>
        <v>1.5653144538917716</v>
      </c>
      <c r="U928" s="13">
        <f t="shared" si="73"/>
        <v>1.2123778042191002</v>
      </c>
      <c r="V928" s="12"/>
      <c r="W928" s="13">
        <f t="shared" si="74"/>
        <v>0.33238321926377074</v>
      </c>
    </row>
    <row r="929" spans="15:23" x14ac:dyDescent="0.25">
      <c r="O929" s="1">
        <f t="shared" si="75"/>
        <v>580</v>
      </c>
      <c r="Q929" s="12">
        <f t="shared" si="71"/>
        <v>2.7094992979361915E-3</v>
      </c>
      <c r="S929" s="13">
        <f t="shared" si="72"/>
        <v>1.5715095928029912</v>
      </c>
      <c r="U929" s="13">
        <f t="shared" si="73"/>
        <v>1.2192746840712863</v>
      </c>
      <c r="V929" s="12"/>
      <c r="W929" s="13">
        <f t="shared" si="74"/>
        <v>0.3317223445338045</v>
      </c>
    </row>
    <row r="930" spans="15:23" x14ac:dyDescent="0.25">
      <c r="O930" s="1">
        <f t="shared" si="75"/>
        <v>579</v>
      </c>
      <c r="Q930" s="12">
        <f t="shared" si="71"/>
        <v>2.7247767534084484E-3</v>
      </c>
      <c r="S930" s="13">
        <f t="shared" si="72"/>
        <v>1.5776457402234916</v>
      </c>
      <c r="U930" s="13">
        <f t="shared" si="73"/>
        <v>1.2261495390338017</v>
      </c>
      <c r="V930" s="12"/>
      <c r="W930" s="13">
        <f t="shared" si="74"/>
        <v>0.33102665597004349</v>
      </c>
    </row>
    <row r="931" spans="15:23" x14ac:dyDescent="0.25">
      <c r="O931" s="1">
        <f t="shared" si="75"/>
        <v>578</v>
      </c>
      <c r="Q931" s="12">
        <f t="shared" si="71"/>
        <v>2.740002701446097E-3</v>
      </c>
      <c r="S931" s="13">
        <f t="shared" si="72"/>
        <v>1.583721561435844</v>
      </c>
      <c r="U931" s="13">
        <f t="shared" si="73"/>
        <v>1.2330012156507437</v>
      </c>
      <c r="V931" s="12"/>
      <c r="W931" s="13">
        <f t="shared" si="74"/>
        <v>0.33029598286681139</v>
      </c>
    </row>
    <row r="932" spans="15:23" x14ac:dyDescent="0.25">
      <c r="O932" s="1">
        <f t="shared" si="75"/>
        <v>577</v>
      </c>
      <c r="Q932" s="12">
        <f t="shared" si="71"/>
        <v>2.7551745546042557E-3</v>
      </c>
      <c r="S932" s="13">
        <f t="shared" si="72"/>
        <v>1.5897357180066556</v>
      </c>
      <c r="U932" s="13">
        <f t="shared" si="73"/>
        <v>1.239828549571915</v>
      </c>
      <c r="V932" s="12"/>
      <c r="W932" s="13">
        <f t="shared" si="74"/>
        <v>0.32953016127872858</v>
      </c>
    </row>
    <row r="933" spans="15:23" x14ac:dyDescent="0.25">
      <c r="O933" s="1">
        <f t="shared" si="75"/>
        <v>576</v>
      </c>
      <c r="Q933" s="12">
        <f t="shared" si="71"/>
        <v>2.7702897015552427E-3</v>
      </c>
      <c r="S933" s="13">
        <f t="shared" si="72"/>
        <v>1.5956868680958198</v>
      </c>
      <c r="U933" s="13">
        <f t="shared" si="73"/>
        <v>1.2466303656998592</v>
      </c>
      <c r="V933" s="12"/>
      <c r="W933" s="13">
        <f t="shared" si="74"/>
        <v>0.32872903417348109</v>
      </c>
    </row>
    <row r="934" spans="15:23" x14ac:dyDescent="0.25">
      <c r="O934" s="1">
        <f t="shared" si="75"/>
        <v>575</v>
      </c>
      <c r="Q934" s="12">
        <f t="shared" si="71"/>
        <v>2.7853455074299408E-3</v>
      </c>
      <c r="S934" s="13">
        <f t="shared" si="72"/>
        <v>1.601573666772216</v>
      </c>
      <c r="U934" s="13">
        <f t="shared" si="73"/>
        <v>1.2534054783434734</v>
      </c>
      <c r="V934" s="12"/>
      <c r="W934" s="13">
        <f t="shared" si="74"/>
        <v>0.32789245158446761</v>
      </c>
    </row>
    <row r="935" spans="15:23" x14ac:dyDescent="0.25">
      <c r="O935" s="1">
        <f t="shared" si="75"/>
        <v>574</v>
      </c>
      <c r="Q935" s="12">
        <f t="shared" si="71"/>
        <v>2.8003393141739579E-3</v>
      </c>
      <c r="S935" s="13">
        <f t="shared" si="72"/>
        <v>1.6073947663358519</v>
      </c>
      <c r="U935" s="13">
        <f t="shared" si="73"/>
        <v>1.260152691378281</v>
      </c>
      <c r="V935" s="12"/>
      <c r="W935" s="13">
        <f t="shared" si="74"/>
        <v>0.32702027076324347</v>
      </c>
    </row>
    <row r="936" spans="15:23" x14ac:dyDescent="0.25">
      <c r="O936" s="1">
        <f t="shared" si="75"/>
        <v>573</v>
      </c>
      <c r="Q936" s="12">
        <f t="shared" si="71"/>
        <v>2.8152684409187773E-3</v>
      </c>
      <c r="S936" s="13">
        <f t="shared" si="72"/>
        <v>1.6131488166464594</v>
      </c>
      <c r="U936" s="13">
        <f t="shared" si="73"/>
        <v>1.2668707984134497</v>
      </c>
      <c r="V936" s="12"/>
      <c r="W936" s="13">
        <f t="shared" si="74"/>
        <v>0.32611235633168828</v>
      </c>
    </row>
    <row r="937" spans="15:23" x14ac:dyDescent="0.25">
      <c r="O937" s="1">
        <f t="shared" si="75"/>
        <v>572</v>
      </c>
      <c r="Q937" s="12">
        <f t="shared" si="71"/>
        <v>2.8301301843680249E-3</v>
      </c>
      <c r="S937" s="13">
        <f t="shared" si="72"/>
        <v>1.6188344654585103</v>
      </c>
      <c r="U937" s="13">
        <f t="shared" si="73"/>
        <v>1.2735585829656113</v>
      </c>
      <c r="V937" s="12"/>
      <c r="W937" s="13">
        <f t="shared" si="74"/>
        <v>0.32516858043381486</v>
      </c>
    </row>
    <row r="938" spans="15:23" x14ac:dyDescent="0.25">
      <c r="O938" s="1">
        <f t="shared" si="75"/>
        <v>571</v>
      </c>
      <c r="Q938" s="12">
        <f t="shared" si="71"/>
        <v>2.8449218191990214E-3</v>
      </c>
      <c r="S938" s="13">
        <f t="shared" si="72"/>
        <v>1.6244503587626411</v>
      </c>
      <c r="U938" s="13">
        <f t="shared" si="73"/>
        <v>1.2802148186395597</v>
      </c>
      <c r="V938" s="12"/>
      <c r="W938" s="13">
        <f t="shared" si="74"/>
        <v>0.32418882288713574</v>
      </c>
    </row>
    <row r="939" spans="15:23" x14ac:dyDescent="0.25">
      <c r="O939" s="1">
        <f t="shared" si="75"/>
        <v>570</v>
      </c>
      <c r="Q939" s="12">
        <f t="shared" si="71"/>
        <v>2.8596405984798044E-3</v>
      </c>
      <c r="S939" s="13">
        <f t="shared" si="72"/>
        <v>1.6299951411334885</v>
      </c>
      <c r="U939" s="13">
        <f t="shared" si="73"/>
        <v>1.2868382693159119</v>
      </c>
      <c r="V939" s="12"/>
      <c r="W939" s="13">
        <f t="shared" si="74"/>
        <v>0.32317297133350986</v>
      </c>
    </row>
    <row r="940" spans="15:23" x14ac:dyDescent="0.25">
      <c r="O940" s="1">
        <f t="shared" si="75"/>
        <v>569</v>
      </c>
      <c r="Q940" s="12">
        <f t="shared" si="71"/>
        <v>2.8742837541016752E-3</v>
      </c>
      <c r="S940" s="13">
        <f t="shared" si="72"/>
        <v>1.6354674560838531</v>
      </c>
      <c r="U940" s="13">
        <f t="shared" si="73"/>
        <v>1.2934276893457539</v>
      </c>
      <c r="V940" s="12"/>
      <c r="W940" s="13">
        <f t="shared" si="74"/>
        <v>0.32212092138937126</v>
      </c>
    </row>
    <row r="941" spans="15:23" x14ac:dyDescent="0.25">
      <c r="O941" s="1">
        <f t="shared" si="75"/>
        <v>568</v>
      </c>
      <c r="Q941" s="12">
        <f t="shared" si="71"/>
        <v>2.8888484972275034E-3</v>
      </c>
      <c r="S941" s="13">
        <f t="shared" si="72"/>
        <v>1.640865946425222</v>
      </c>
      <c r="U941" s="13">
        <f t="shared" si="73"/>
        <v>1.2999818237523766</v>
      </c>
      <c r="V941" s="12"/>
      <c r="W941" s="13">
        <f t="shared" si="74"/>
        <v>0.32103257679526809</v>
      </c>
    </row>
    <row r="942" spans="15:23" x14ac:dyDescent="0.25">
      <c r="O942" s="1">
        <f t="shared" si="75"/>
        <v>567</v>
      </c>
      <c r="Q942" s="12">
        <f t="shared" si="71"/>
        <v>2.9033320187559285E-3</v>
      </c>
      <c r="S942" s="13">
        <f t="shared" si="72"/>
        <v>1.6461892546346115</v>
      </c>
      <c r="U942" s="13">
        <f t="shared" si="73"/>
        <v>1.3064994084401678</v>
      </c>
      <c r="V942" s="12"/>
      <c r="W942" s="13">
        <f t="shared" si="74"/>
        <v>0.31990784956461549</v>
      </c>
    </row>
    <row r="943" spans="15:23" x14ac:dyDescent="0.25">
      <c r="O943" s="1">
        <f t="shared" si="75"/>
        <v>566</v>
      </c>
      <c r="Q943" s="12">
        <f t="shared" si="71"/>
        <v>2.9177314898014696E-3</v>
      </c>
      <c r="S943" s="13">
        <f t="shared" si="72"/>
        <v>1.6514360232276317</v>
      </c>
      <c r="U943" s="13">
        <f t="shared" si="73"/>
        <v>1.3129791704106613</v>
      </c>
      <c r="V943" s="12"/>
      <c r="W943" s="13">
        <f t="shared" si="74"/>
        <v>0.31874666013156688</v>
      </c>
    </row>
    <row r="944" spans="15:23" x14ac:dyDescent="0.25">
      <c r="O944" s="1">
        <f t="shared" si="75"/>
        <v>565</v>
      </c>
      <c r="Q944" s="12">
        <f t="shared" si="71"/>
        <v>2.9320440621908735E-3</v>
      </c>
      <c r="S944" s="13">
        <f t="shared" si="72"/>
        <v>1.6566048951378436</v>
      </c>
      <c r="U944" s="13">
        <f t="shared" si="73"/>
        <v>1.3194198279858931</v>
      </c>
      <c r="V944" s="12"/>
      <c r="W944" s="13">
        <f t="shared" si="74"/>
        <v>0.31754893749793028</v>
      </c>
    </row>
    <row r="945" spans="15:23" x14ac:dyDescent="0.25">
      <c r="O945" s="1">
        <f t="shared" si="75"/>
        <v>564</v>
      </c>
      <c r="Q945" s="12">
        <f t="shared" si="71"/>
        <v>2.9462668689755815E-3</v>
      </c>
      <c r="S945" s="13">
        <f t="shared" si="72"/>
        <v>1.6616945141022279</v>
      </c>
      <c r="U945" s="13">
        <f t="shared" si="73"/>
        <v>1.3258200910390117</v>
      </c>
      <c r="V945" s="12"/>
      <c r="W945" s="13">
        <f t="shared" si="74"/>
        <v>0.31631461937900845</v>
      </c>
    </row>
    <row r="946" spans="15:23" x14ac:dyDescent="0.25">
      <c r="O946" s="1">
        <f t="shared" si="75"/>
        <v>563</v>
      </c>
      <c r="Q946" s="12">
        <f t="shared" si="71"/>
        <v>2.960397024960643E-3</v>
      </c>
      <c r="S946" s="13">
        <f t="shared" si="72"/>
        <v>1.6667035250528419</v>
      </c>
      <c r="U946" s="13">
        <f t="shared" si="73"/>
        <v>1.3321786612322892</v>
      </c>
      <c r="V946" s="12"/>
      <c r="W946" s="13">
        <f t="shared" si="74"/>
        <v>0.31504365234829712</v>
      </c>
    </row>
    <row r="947" spans="15:23" x14ac:dyDescent="0.25">
      <c r="O947" s="1">
        <f t="shared" si="75"/>
        <v>562</v>
      </c>
      <c r="Q947" s="12">
        <f t="shared" si="71"/>
        <v>2.97443162725009E-3</v>
      </c>
      <c r="S947" s="13">
        <f t="shared" si="72"/>
        <v>1.6716305745145505</v>
      </c>
      <c r="U947" s="13">
        <f t="shared" si="73"/>
        <v>1.3384942322625406</v>
      </c>
      <c r="V947" s="12"/>
      <c r="W947" s="13">
        <f t="shared" si="74"/>
        <v>0.31373599198092678</v>
      </c>
    </row>
    <row r="948" spans="15:23" x14ac:dyDescent="0.25">
      <c r="O948" s="1">
        <f t="shared" si="75"/>
        <v>561</v>
      </c>
      <c r="Q948" s="12">
        <f t="shared" si="71"/>
        <v>2.9883677558088101E-3</v>
      </c>
      <c r="S948" s="13">
        <f t="shared" si="72"/>
        <v>1.6764743110087426</v>
      </c>
      <c r="U948" s="13">
        <f t="shared" si="73"/>
        <v>1.3447654901139645</v>
      </c>
      <c r="V948" s="12"/>
      <c r="W948" s="13">
        <f t="shared" si="74"/>
        <v>0.31239160299575175</v>
      </c>
    </row>
    <row r="949" spans="15:23" x14ac:dyDescent="0.25">
      <c r="O949" s="1">
        <f t="shared" si="75"/>
        <v>560</v>
      </c>
      <c r="Q949" s="12">
        <f t="shared" si="71"/>
        <v>3.0022024740412054E-3</v>
      </c>
      <c r="S949" s="13">
        <f t="shared" si="72"/>
        <v>1.681233385463075</v>
      </c>
      <c r="U949" s="13">
        <f t="shared" si="73"/>
        <v>1.3509911133185424</v>
      </c>
      <c r="V949" s="12"/>
      <c r="W949" s="13">
        <f t="shared" si="74"/>
        <v>0.31101045939599831</v>
      </c>
    </row>
    <row r="950" spans="15:23" x14ac:dyDescent="0.25">
      <c r="O950" s="1">
        <f t="shared" si="75"/>
        <v>559</v>
      </c>
      <c r="Q950" s="12">
        <f t="shared" si="71"/>
        <v>3.0159328293865141E-3</v>
      </c>
      <c r="S950" s="13">
        <f t="shared" si="72"/>
        <v>1.6859064516270614</v>
      </c>
      <c r="U950" s="13">
        <f t="shared" si="73"/>
        <v>1.3571697732239314</v>
      </c>
      <c r="V950" s="12"/>
      <c r="W950" s="13">
        <f t="shared" si="74"/>
        <v>0.30959254460835894</v>
      </c>
    </row>
    <row r="951" spans="15:23" x14ac:dyDescent="0.25">
      <c r="O951" s="1">
        <f t="shared" si="75"/>
        <v>558</v>
      </c>
      <c r="Q951" s="12">
        <f t="shared" si="71"/>
        <v>3.0295558539310042E-3</v>
      </c>
      <c r="S951" s="13">
        <f t="shared" si="72"/>
        <v>1.6904921664935004</v>
      </c>
      <c r="U951" s="13">
        <f t="shared" si="73"/>
        <v>1.3633001342689519</v>
      </c>
      <c r="V951" s="12"/>
      <c r="W951" s="13">
        <f t="shared" si="74"/>
        <v>0.30813785162043439</v>
      </c>
    </row>
    <row r="952" spans="15:23" x14ac:dyDescent="0.25">
      <c r="O952" s="1">
        <f t="shared" si="75"/>
        <v>557</v>
      </c>
      <c r="Q952" s="12">
        <f t="shared" si="71"/>
        <v>3.0430685650371086E-3</v>
      </c>
      <c r="S952" s="13">
        <f t="shared" si="72"/>
        <v>1.6949891907256696</v>
      </c>
      <c r="U952" s="13">
        <f t="shared" si="73"/>
        <v>1.3693808542666988</v>
      </c>
      <c r="V952" s="12"/>
      <c r="W952" s="13">
        <f t="shared" si="74"/>
        <v>0.30664638311642578</v>
      </c>
    </row>
    <row r="953" spans="15:23" x14ac:dyDescent="0.25">
      <c r="O953" s="1">
        <f t="shared" si="75"/>
        <v>556</v>
      </c>
      <c r="Q953" s="12">
        <f t="shared" si="71"/>
        <v>3.0564679659895325E-3</v>
      </c>
      <c r="S953" s="13">
        <f t="shared" si="72"/>
        <v>1.6993961890901801</v>
      </c>
      <c r="U953" s="13">
        <f t="shared" si="73"/>
        <v>1.3754105846952895</v>
      </c>
      <c r="V953" s="12"/>
      <c r="W953" s="13">
        <f t="shared" si="74"/>
        <v>0.305118151610965</v>
      </c>
    </row>
    <row r="954" spans="15:23" x14ac:dyDescent="0.25">
      <c r="O954" s="1">
        <f t="shared" si="75"/>
        <v>555</v>
      </c>
      <c r="Q954" s="12">
        <f t="shared" si="71"/>
        <v>3.0697510466583923E-3</v>
      </c>
      <c r="S954" s="13">
        <f t="shared" si="72"/>
        <v>1.7037118308954078</v>
      </c>
      <c r="U954" s="13">
        <f t="shared" si="73"/>
        <v>1.3813879709962766</v>
      </c>
      <c r="V954" s="12"/>
      <c r="W954" s="13">
        <f t="shared" si="74"/>
        <v>0.30355317958097999</v>
      </c>
    </row>
    <row r="955" spans="15:23" x14ac:dyDescent="0.25">
      <c r="O955" s="1">
        <f t="shared" si="75"/>
        <v>554</v>
      </c>
      <c r="Q955" s="12">
        <f t="shared" si="71"/>
        <v>3.0829147841794865E-3</v>
      </c>
      <c r="S955" s="13">
        <f t="shared" si="72"/>
        <v>1.7079347904354356</v>
      </c>
      <c r="U955" s="13">
        <f t="shared" si="73"/>
        <v>1.387311652880769</v>
      </c>
      <c r="V955" s="12"/>
      <c r="W955" s="13">
        <f t="shared" si="74"/>
        <v>0.30195149959548906</v>
      </c>
    </row>
    <row r="956" spans="15:23" x14ac:dyDescent="0.25">
      <c r="O956" s="1">
        <f t="shared" si="75"/>
        <v>553</v>
      </c>
      <c r="Q956" s="12">
        <f t="shared" si="71"/>
        <v>3.0959561436517068E-3</v>
      </c>
      <c r="S956" s="13">
        <f t="shared" si="72"/>
        <v>1.7120637474393938</v>
      </c>
      <c r="U956" s="13">
        <f t="shared" si="73"/>
        <v>1.3931802646432681</v>
      </c>
      <c r="V956" s="12"/>
      <c r="W956" s="13">
        <f t="shared" si="74"/>
        <v>0.30031315444321421</v>
      </c>
    </row>
    <row r="957" spans="15:23" x14ac:dyDescent="0.25">
      <c r="O957" s="1">
        <f t="shared" si="75"/>
        <v>552</v>
      </c>
      <c r="Q957" s="12">
        <f t="shared" si="71"/>
        <v>3.1088720788516261E-3</v>
      </c>
      <c r="S957" s="13">
        <f t="shared" si="72"/>
        <v>1.7160973875260976</v>
      </c>
      <c r="U957" s="13">
        <f t="shared" si="73"/>
        <v>1.3989924354832317</v>
      </c>
      <c r="V957" s="12"/>
      <c r="W957" s="13">
        <f t="shared" si="74"/>
        <v>0.29863819725790519</v>
      </c>
    </row>
    <row r="958" spans="15:23" x14ac:dyDescent="0.25">
      <c r="O958" s="1">
        <f t="shared" si="75"/>
        <v>551</v>
      </c>
      <c r="Q958" s="12">
        <f t="shared" si="71"/>
        <v>3.1216595329652944E-3</v>
      </c>
      <c r="S958" s="13">
        <f t="shared" si="72"/>
        <v>1.7200344026638772</v>
      </c>
      <c r="U958" s="13">
        <f t="shared" si="73"/>
        <v>1.4047467898343824</v>
      </c>
      <c r="V958" s="12"/>
      <c r="W958" s="13">
        <f t="shared" si="74"/>
        <v>0.29692669164126034</v>
      </c>
    </row>
    <row r="959" spans="15:23" x14ac:dyDescent="0.25">
      <c r="O959" s="1">
        <f t="shared" si="75"/>
        <v>550</v>
      </c>
      <c r="Q959" s="12">
        <f t="shared" si="71"/>
        <v>3.1343154393373277E-3</v>
      </c>
      <c r="S959" s="13">
        <f t="shared" si="72"/>
        <v>1.7238734916355303</v>
      </c>
      <c r="U959" s="13">
        <f t="shared" si="73"/>
        <v>1.4104419477017975</v>
      </c>
      <c r="V959" s="12"/>
      <c r="W959" s="13">
        <f t="shared" si="74"/>
        <v>0.29517871178334276</v>
      </c>
    </row>
    <row r="960" spans="15:23" x14ac:dyDescent="0.25">
      <c r="O960" s="1">
        <f t="shared" si="75"/>
        <v>549</v>
      </c>
      <c r="Q960" s="12">
        <f t="shared" si="71"/>
        <v>3.1468367222371027E-3</v>
      </c>
      <c r="S960" s="13">
        <f t="shared" si="72"/>
        <v>1.7276133605081694</v>
      </c>
      <c r="U960" s="13">
        <f t="shared" si="73"/>
        <v>1.4160765250066962</v>
      </c>
      <c r="V960" s="12"/>
      <c r="W960" s="13">
        <f t="shared" si="74"/>
        <v>0.29339434258035768</v>
      </c>
    </row>
    <row r="961" spans="15:23" x14ac:dyDescent="0.25">
      <c r="O961" s="1">
        <f t="shared" si="75"/>
        <v>548</v>
      </c>
      <c r="Q961" s="12">
        <f t="shared" si="71"/>
        <v>3.1592202976423924E-3</v>
      </c>
      <c r="S961" s="13">
        <f t="shared" si="72"/>
        <v>1.731252723108031</v>
      </c>
      <c r="U961" s="13">
        <f t="shared" si="73"/>
        <v>1.4216491339390767</v>
      </c>
      <c r="V961" s="12"/>
      <c r="W961" s="13">
        <f t="shared" si="74"/>
        <v>0.29157367974970966</v>
      </c>
    </row>
    <row r="962" spans="15:23" x14ac:dyDescent="0.25">
      <c r="O962" s="1">
        <f t="shared" si="75"/>
        <v>547</v>
      </c>
      <c r="Q962" s="12">
        <f t="shared" si="71"/>
        <v>3.1714630740400673E-3</v>
      </c>
      <c r="S962" s="13">
        <f t="shared" si="72"/>
        <v>1.7347903014999169</v>
      </c>
      <c r="U962" s="13">
        <f t="shared" si="73"/>
        <v>1.4271583833180304</v>
      </c>
      <c r="V962" s="12"/>
      <c r="W962" s="13">
        <f t="shared" si="74"/>
        <v>0.28971682994219211</v>
      </c>
    </row>
    <row r="963" spans="15:23" x14ac:dyDescent="0.25">
      <c r="O963" s="1">
        <f t="shared" si="75"/>
        <v>546</v>
      </c>
      <c r="Q963" s="12">
        <f t="shared" si="71"/>
        <v>3.1835619532440984E-3</v>
      </c>
      <c r="S963" s="13">
        <f t="shared" si="72"/>
        <v>1.7382248264712776</v>
      </c>
      <c r="U963" s="13">
        <f t="shared" si="73"/>
        <v>1.4326028789598442</v>
      </c>
      <c r="V963" s="12"/>
      <c r="W963" s="13">
        <f t="shared" si="74"/>
        <v>0.28782391085121489</v>
      </c>
    </row>
    <row r="964" spans="15:23" x14ac:dyDescent="0.25">
      <c r="O964" s="1">
        <f t="shared" si="75"/>
        <v>545</v>
      </c>
      <c r="Q964" s="12">
        <f t="shared" si="71"/>
        <v>3.1955138312307497E-3</v>
      </c>
      <c r="S964" s="13">
        <f t="shared" si="72"/>
        <v>1.7415550380207585</v>
      </c>
      <c r="U964" s="13">
        <f t="shared" si="73"/>
        <v>1.4379812240538374</v>
      </c>
      <c r="V964" s="12"/>
      <c r="W964" s="13">
        <f t="shared" si="74"/>
        <v>0.28589505131894893</v>
      </c>
    </row>
    <row r="965" spans="15:23" x14ac:dyDescent="0.25">
      <c r="O965" s="1">
        <f t="shared" si="75"/>
        <v>544</v>
      </c>
      <c r="Q965" s="12">
        <f t="shared" si="71"/>
        <v>3.20731559899088E-3</v>
      </c>
      <c r="S965" s="13">
        <f t="shared" si="72"/>
        <v>1.7447796858510387</v>
      </c>
      <c r="U965" s="13">
        <f t="shared" si="73"/>
        <v>1.443292019545896</v>
      </c>
      <c r="V965" s="12"/>
      <c r="W965" s="13">
        <f t="shared" si="74"/>
        <v>0.28393039143926629</v>
      </c>
    </row>
    <row r="966" spans="15:23" x14ac:dyDescent="0.25">
      <c r="O966" s="1">
        <f t="shared" si="75"/>
        <v>543</v>
      </c>
      <c r="Q966" s="12">
        <f t="shared" si="71"/>
        <v>3.2189641433994142E-3</v>
      </c>
      <c r="S966" s="13">
        <f t="shared" si="72"/>
        <v>1.7478975298658819</v>
      </c>
      <c r="U966" s="13">
        <f t="shared" si="73"/>
        <v>1.4485338645297363</v>
      </c>
      <c r="V966" s="12"/>
      <c r="W966" s="13">
        <f t="shared" si="74"/>
        <v>0.28193008265736624</v>
      </c>
    </row>
    <row r="967" spans="15:23" x14ac:dyDescent="0.25">
      <c r="O967" s="1">
        <f t="shared" si="75"/>
        <v>542</v>
      </c>
      <c r="Q967" s="12">
        <f t="shared" si="71"/>
        <v>3.2304563481017862E-3</v>
      </c>
      <c r="S967" s="13">
        <f t="shared" si="72"/>
        <v>1.7509073406711682</v>
      </c>
      <c r="U967" s="13">
        <f t="shared" si="73"/>
        <v>1.4537053566458038</v>
      </c>
      <c r="V967" s="12"/>
      <c r="W967" s="13">
        <f t="shared" si="74"/>
        <v>0.2798942878659606</v>
      </c>
    </row>
    <row r="968" spans="15:23" x14ac:dyDescent="0.25">
      <c r="O968" s="1">
        <f t="shared" si="75"/>
        <v>541</v>
      </c>
      <c r="Q968" s="12">
        <f t="shared" si="71"/>
        <v>3.2417890944174232E-3</v>
      </c>
      <c r="S968" s="13">
        <f t="shared" si="72"/>
        <v>1.7538079000798259</v>
      </c>
      <c r="U968" s="13">
        <f t="shared" si="73"/>
        <v>1.4588050924878404</v>
      </c>
      <c r="V968" s="12"/>
      <c r="W968" s="13">
        <f t="shared" si="74"/>
        <v>0.27782318149791008</v>
      </c>
    </row>
    <row r="969" spans="15:23" x14ac:dyDescent="0.25">
      <c r="O969" s="1">
        <f t="shared" si="75"/>
        <v>540</v>
      </c>
      <c r="Q969" s="12">
        <f t="shared" si="71"/>
        <v>3.2529592622600341E-3</v>
      </c>
      <c r="S969" s="13">
        <f t="shared" si="72"/>
        <v>1.7565980016204183</v>
      </c>
      <c r="U969" s="13">
        <f t="shared" si="73"/>
        <v>1.4638316680170154</v>
      </c>
      <c r="V969" s="12"/>
      <c r="W969" s="13">
        <f t="shared" si="74"/>
        <v>0.2757169496151794</v>
      </c>
    </row>
    <row r="970" spans="15:23" x14ac:dyDescent="0.25">
      <c r="O970" s="1">
        <f t="shared" si="75"/>
        <v>539</v>
      </c>
      <c r="Q970" s="12">
        <f t="shared" ref="Q970:Q1033" si="76">_xlfn.LOGNORM.DIST(O970,$D$25,$D$26,FALSE)</f>
        <v>3.2639637310748174E-3</v>
      </c>
      <c r="S970" s="13">
        <f t="shared" ref="S970:S1033" si="77">IF(O970&gt;$D$6,O970*Q970,0)</f>
        <v>1.7592764510493266</v>
      </c>
      <c r="U970" s="13">
        <f t="shared" ref="U970:U1033" si="78">IF(O970&gt;$D$6,$D$6*Q970,0)</f>
        <v>1.4687836789836679</v>
      </c>
      <c r="V970" s="12"/>
      <c r="W970" s="13">
        <f t="shared" ref="W970:W1033" si="79">(S970-U970)*EXP(-$D$9*$D$7)</f>
        <v>0.27357578999401055</v>
      </c>
    </row>
    <row r="971" spans="15:23" x14ac:dyDescent="0.25">
      <c r="O971" s="1">
        <f t="shared" ref="O971:O1034" si="80">O970-1</f>
        <v>538</v>
      </c>
      <c r="Q971" s="12">
        <f t="shared" si="76"/>
        <v>3.2747993807922169E-3</v>
      </c>
      <c r="S971" s="13">
        <f t="shared" si="77"/>
        <v>1.7618420668662127</v>
      </c>
      <c r="U971" s="13">
        <f t="shared" si="78"/>
        <v>1.4736597213564977</v>
      </c>
      <c r="V971" s="12"/>
      <c r="W971" s="13">
        <f t="shared" si="79"/>
        <v>0.27139991220617155</v>
      </c>
    </row>
    <row r="972" spans="15:23" x14ac:dyDescent="0.25">
      <c r="O972" s="1">
        <f t="shared" si="80"/>
        <v>537</v>
      </c>
      <c r="Q972" s="12">
        <f t="shared" si="76"/>
        <v>3.285463092798356E-3</v>
      </c>
      <c r="S972" s="13">
        <f t="shared" si="77"/>
        <v>1.7642936808327172</v>
      </c>
      <c r="U972" s="13">
        <f t="shared" si="78"/>
        <v>1.4784583917592602</v>
      </c>
      <c r="V972" s="12"/>
      <c r="W972" s="13">
        <f t="shared" si="79"/>
        <v>0.26918953769618315</v>
      </c>
    </row>
    <row r="973" spans="15:23" x14ac:dyDescent="0.25">
      <c r="O973" s="1">
        <f t="shared" si="80"/>
        <v>536</v>
      </c>
      <c r="Q973" s="12">
        <f t="shared" si="76"/>
        <v>3.295951750921886E-3</v>
      </c>
      <c r="S973" s="13">
        <f t="shared" si="77"/>
        <v>1.766630138494131</v>
      </c>
      <c r="U973" s="13">
        <f t="shared" si="78"/>
        <v>1.4831782879148487</v>
      </c>
      <c r="V973" s="12"/>
      <c r="W973" s="13">
        <f t="shared" si="79"/>
        <v>0.26694489985438991</v>
      </c>
    </row>
    <row r="974" spans="15:23" x14ac:dyDescent="0.25">
      <c r="O974" s="1">
        <f t="shared" si="80"/>
        <v>535</v>
      </c>
      <c r="Q974" s="12">
        <f t="shared" si="76"/>
        <v>3.3062622424371081E-3</v>
      </c>
      <c r="S974" s="13">
        <f t="shared" si="77"/>
        <v>1.7688502997038529</v>
      </c>
      <c r="U974" s="13">
        <f t="shared" si="78"/>
        <v>1.4878180090966986</v>
      </c>
      <c r="V974" s="12"/>
      <c r="W974" s="13">
        <f t="shared" si="79"/>
        <v>0.26466624408575973</v>
      </c>
    </row>
    <row r="975" spans="15:23" x14ac:dyDescent="0.25">
      <c r="O975" s="1">
        <f t="shared" si="80"/>
        <v>534</v>
      </c>
      <c r="Q975" s="12">
        <f t="shared" si="76"/>
        <v>3.3163914590832681E-3</v>
      </c>
      <c r="S975" s="13">
        <f t="shared" si="77"/>
        <v>1.7709530391504651</v>
      </c>
      <c r="U975" s="13">
        <f t="shared" si="78"/>
        <v>1.4923761565874707</v>
      </c>
      <c r="V975" s="12"/>
      <c r="W975" s="13">
        <f t="shared" si="79"/>
        <v>0.26235382787429246</v>
      </c>
    </row>
    <row r="976" spans="15:23" x14ac:dyDescent="0.25">
      <c r="O976" s="1">
        <f t="shared" si="80"/>
        <v>533</v>
      </c>
      <c r="Q976" s="12">
        <f t="shared" si="76"/>
        <v>3.3263362980998309E-3</v>
      </c>
      <c r="S976" s="13">
        <f t="shared" si="77"/>
        <v>1.7729372468872098</v>
      </c>
      <c r="U976" s="13">
        <f t="shared" si="78"/>
        <v>1.4968513341449239</v>
      </c>
      <c r="V976" s="12"/>
      <c r="W976" s="13">
        <f t="shared" si="79"/>
        <v>0.26000792084292046</v>
      </c>
    </row>
    <row r="977" spans="15:23" x14ac:dyDescent="0.25">
      <c r="O977" s="1">
        <f t="shared" si="80"/>
        <v>532</v>
      </c>
      <c r="Q977" s="12">
        <f t="shared" si="76"/>
        <v>3.3360936632775328E-3</v>
      </c>
      <c r="S977" s="13">
        <f t="shared" si="77"/>
        <v>1.7748018288636473</v>
      </c>
      <c r="U977" s="13">
        <f t="shared" si="78"/>
        <v>1.5012421484748897</v>
      </c>
      <c r="V977" s="12"/>
      <c r="W977" s="13">
        <f t="shared" si="79"/>
        <v>0.25762880480877454</v>
      </c>
    </row>
    <row r="978" spans="15:23" x14ac:dyDescent="0.25">
      <c r="O978" s="1">
        <f t="shared" si="80"/>
        <v>531</v>
      </c>
      <c r="Q978" s="12">
        <f t="shared" si="76"/>
        <v>3.3456604660250557E-3</v>
      </c>
      <c r="S978" s="13">
        <f t="shared" si="77"/>
        <v>1.7765457074593045</v>
      </c>
      <c r="U978" s="13">
        <f t="shared" si="78"/>
        <v>1.505547209711275</v>
      </c>
      <c r="V978" s="12"/>
      <c r="W978" s="13">
        <f t="shared" si="79"/>
        <v>0.25521677383370511</v>
      </c>
    </row>
    <row r="979" spans="15:23" x14ac:dyDescent="0.25">
      <c r="O979" s="1">
        <f t="shared" si="80"/>
        <v>530</v>
      </c>
      <c r="Q979" s="12">
        <f t="shared" si="76"/>
        <v>3.3550336264510485E-3</v>
      </c>
      <c r="S979" s="13">
        <f t="shared" si="77"/>
        <v>1.7781678220190558</v>
      </c>
      <c r="U979" s="13">
        <f t="shared" si="78"/>
        <v>1.5097651319029719</v>
      </c>
      <c r="V979" s="12"/>
      <c r="W979" s="13">
        <f t="shared" si="79"/>
        <v>0.25277213426993134</v>
      </c>
    </row>
    <row r="980" spans="15:23" x14ac:dyDescent="0.25">
      <c r="O980" s="1">
        <f t="shared" si="80"/>
        <v>529</v>
      </c>
      <c r="Q980" s="12">
        <f t="shared" si="76"/>
        <v>3.3642100744614026E-3</v>
      </c>
      <c r="S980" s="13">
        <f t="shared" si="77"/>
        <v>1.7796671293900821</v>
      </c>
      <c r="U980" s="13">
        <f t="shared" si="78"/>
        <v>1.5138945335076313</v>
      </c>
      <c r="V980" s="12"/>
      <c r="W980" s="13">
        <f t="shared" si="79"/>
        <v>0.25029520480071132</v>
      </c>
    </row>
    <row r="981" spans="15:23" x14ac:dyDescent="0.25">
      <c r="O981" s="1">
        <f t="shared" si="80"/>
        <v>528</v>
      </c>
      <c r="Q981" s="12">
        <f t="shared" si="76"/>
        <v>3.3731867508713779E-3</v>
      </c>
      <c r="S981" s="13">
        <f t="shared" si="77"/>
        <v>1.7810426044600876</v>
      </c>
      <c r="U981" s="13">
        <f t="shared" si="78"/>
        <v>1.51793403789212</v>
      </c>
      <c r="V981" s="12"/>
      <c r="W981" s="13">
        <f t="shared" si="79"/>
        <v>0.24778631647590221</v>
      </c>
    </row>
    <row r="982" spans="15:23" x14ac:dyDescent="0.25">
      <c r="O982" s="1">
        <f t="shared" si="80"/>
        <v>527</v>
      </c>
      <c r="Q982" s="12">
        <f t="shared" si="76"/>
        <v>3.3819606085324521E-3</v>
      </c>
      <c r="S982" s="13">
        <f t="shared" si="77"/>
        <v>1.7822932406966023</v>
      </c>
      <c r="U982" s="13">
        <f t="shared" si="78"/>
        <v>1.5218822738396034</v>
      </c>
      <c r="V982" s="12"/>
      <c r="W982" s="13">
        <f t="shared" si="79"/>
        <v>0.24524581274230486</v>
      </c>
    </row>
    <row r="983" spans="15:23" x14ac:dyDescent="0.25">
      <c r="O983" s="1">
        <f t="shared" si="80"/>
        <v>526</v>
      </c>
      <c r="Q983" s="12">
        <f t="shared" si="76"/>
        <v>3.3905286134735938E-3</v>
      </c>
      <c r="S983" s="13">
        <f t="shared" si="77"/>
        <v>1.7834180506871105</v>
      </c>
      <c r="U983" s="13">
        <f t="shared" si="78"/>
        <v>1.5257378760631173</v>
      </c>
      <c r="V983" s="12"/>
      <c r="W983" s="13">
        <f t="shared" si="79"/>
        <v>0.24267404946867269</v>
      </c>
    </row>
    <row r="984" spans="15:23" x14ac:dyDescent="0.25">
      <c r="O984" s="1">
        <f t="shared" si="80"/>
        <v>525</v>
      </c>
      <c r="Q984" s="12">
        <f t="shared" si="76"/>
        <v>3.3988877460566598E-3</v>
      </c>
      <c r="S984" s="13">
        <f t="shared" si="77"/>
        <v>1.7844160666797464</v>
      </c>
      <c r="U984" s="13">
        <f t="shared" si="78"/>
        <v>1.5294994857254969</v>
      </c>
      <c r="V984" s="12"/>
      <c r="W984" s="13">
        <f t="shared" si="79"/>
        <v>0.24007139496527016</v>
      </c>
    </row>
    <row r="985" spans="15:23" x14ac:dyDescent="0.25">
      <c r="O985" s="1">
        <f t="shared" si="80"/>
        <v>524</v>
      </c>
      <c r="Q985" s="12">
        <f t="shared" si="76"/>
        <v>3.4070350021456392E-3</v>
      </c>
      <c r="S985" s="13">
        <f t="shared" si="77"/>
        <v>1.7852863411243149</v>
      </c>
      <c r="U985" s="13">
        <f t="shared" si="78"/>
        <v>1.5331657509655376</v>
      </c>
      <c r="V985" s="12"/>
      <c r="W985" s="13">
        <f t="shared" si="79"/>
        <v>0.23743822999786643</v>
      </c>
    </row>
    <row r="986" spans="15:23" x14ac:dyDescent="0.25">
      <c r="O986" s="1">
        <f t="shared" si="80"/>
        <v>523</v>
      </c>
      <c r="Q986" s="12">
        <f t="shared" si="76"/>
        <v>3.4149673942894475E-3</v>
      </c>
      <c r="S986" s="13">
        <f t="shared" si="77"/>
        <v>1.7860279472133811</v>
      </c>
      <c r="U986" s="13">
        <f t="shared" si="78"/>
        <v>1.5367353274302513</v>
      </c>
      <c r="V986" s="12"/>
      <c r="W986" s="13">
        <f t="shared" si="79"/>
        <v>0.23477494779605468</v>
      </c>
    </row>
    <row r="987" spans="15:23" x14ac:dyDescent="0.25">
      <c r="O987" s="1">
        <f t="shared" si="80"/>
        <v>522</v>
      </c>
      <c r="Q987" s="12">
        <f t="shared" si="76"/>
        <v>3.4226819529179051E-3</v>
      </c>
      <c r="S987" s="13">
        <f t="shared" si="77"/>
        <v>1.7866399794231465</v>
      </c>
      <c r="U987" s="13">
        <f t="shared" si="78"/>
        <v>1.5402068788130572</v>
      </c>
      <c r="V987" s="12"/>
      <c r="W987" s="13">
        <f t="shared" si="79"/>
        <v>0.23208195405578097</v>
      </c>
    </row>
    <row r="988" spans="15:23" x14ac:dyDescent="0.25">
      <c r="O988" s="1">
        <f t="shared" si="80"/>
        <v>521</v>
      </c>
      <c r="Q988" s="12">
        <f t="shared" si="76"/>
        <v>3.4301757275506288E-3</v>
      </c>
      <c r="S988" s="13">
        <f t="shared" si="77"/>
        <v>1.7871215540538776</v>
      </c>
      <c r="U988" s="13">
        <f t="shared" si="78"/>
        <v>1.5435790773977829</v>
      </c>
      <c r="V988" s="12"/>
      <c r="W988" s="13">
        <f t="shared" si="79"/>
        <v>0.22935966693597984</v>
      </c>
    </row>
    <row r="989" spans="15:23" x14ac:dyDescent="0.25">
      <c r="O989" s="1">
        <f t="shared" si="80"/>
        <v>520</v>
      </c>
      <c r="Q989" s="12">
        <f t="shared" si="76"/>
        <v>3.4374457880183788E-3</v>
      </c>
      <c r="S989" s="13">
        <f t="shared" si="77"/>
        <v>1.787471809769557</v>
      </c>
      <c r="U989" s="13">
        <f t="shared" si="78"/>
        <v>1.5468506046082704</v>
      </c>
      <c r="V989" s="12"/>
      <c r="W989" s="13">
        <f t="shared" si="79"/>
        <v>0.2266085170491989</v>
      </c>
    </row>
    <row r="990" spans="15:23" x14ac:dyDescent="0.25">
      <c r="O990" s="1">
        <f t="shared" si="80"/>
        <v>519</v>
      </c>
      <c r="Q990" s="12">
        <f t="shared" si="76"/>
        <v>3.4444892256966153E-3</v>
      </c>
      <c r="S990" s="13">
        <f t="shared" si="77"/>
        <v>1.7876899081365434</v>
      </c>
      <c r="U990" s="13">
        <f t="shared" si="78"/>
        <v>1.5500201515634768</v>
      </c>
      <c r="V990" s="12"/>
      <c r="W990" s="13">
        <f t="shared" si="79"/>
        <v>0.22382894744611595</v>
      </c>
    </row>
    <row r="991" spans="15:23" x14ac:dyDescent="0.25">
      <c r="O991" s="1">
        <f t="shared" si="80"/>
        <v>518</v>
      </c>
      <c r="Q991" s="12">
        <f t="shared" si="76"/>
        <v>3.4513031547507545E-3</v>
      </c>
      <c r="S991" s="13">
        <f t="shared" si="77"/>
        <v>1.7877750341608909</v>
      </c>
      <c r="U991" s="13">
        <f t="shared" si="78"/>
        <v>1.5530864196378396</v>
      </c>
      <c r="V991" s="12"/>
      <c r="W991" s="13">
        <f t="shared" si="79"/>
        <v>0.22102141359383498</v>
      </c>
    </row>
    <row r="992" spans="15:23" x14ac:dyDescent="0.25">
      <c r="O992" s="1">
        <f t="shared" si="80"/>
        <v>517</v>
      </c>
      <c r="Q992" s="12">
        <f t="shared" si="76"/>
        <v>3.4578847133928414E-3</v>
      </c>
      <c r="S992" s="13">
        <f t="shared" si="77"/>
        <v>1.7877263968240991</v>
      </c>
      <c r="U992" s="13">
        <f t="shared" si="78"/>
        <v>1.5560481210267787</v>
      </c>
      <c r="V992" s="12"/>
      <c r="W992" s="13">
        <f t="shared" si="79"/>
        <v>0.21818638334786636</v>
      </c>
    </row>
    <row r="993" spans="15:23" x14ac:dyDescent="0.25">
      <c r="O993" s="1">
        <f t="shared" si="80"/>
        <v>516</v>
      </c>
      <c r="Q993" s="12">
        <f t="shared" si="76"/>
        <v>3.4642310651490796E-3</v>
      </c>
      <c r="S993" s="13">
        <f t="shared" si="77"/>
        <v>1.7875432296169251</v>
      </c>
      <c r="U993" s="13">
        <f t="shared" si="78"/>
        <v>1.5589039793170858</v>
      </c>
      <c r="V993" s="12"/>
      <c r="W993" s="13">
        <f t="shared" si="79"/>
        <v>0.21532433691768049</v>
      </c>
    </row>
    <row r="994" spans="15:23" x14ac:dyDescent="0.25">
      <c r="O994" s="1">
        <f t="shared" si="80"/>
        <v>515</v>
      </c>
      <c r="Q994" s="12">
        <f t="shared" si="76"/>
        <v>3.470339400137953E-3</v>
      </c>
      <c r="S994" s="13">
        <f t="shared" si="77"/>
        <v>1.7872247910710457</v>
      </c>
      <c r="U994" s="13">
        <f t="shared" si="78"/>
        <v>1.5616527300620788</v>
      </c>
      <c r="V994" s="12"/>
      <c r="W994" s="13">
        <f t="shared" si="79"/>
        <v>0.21243576682574739</v>
      </c>
    </row>
    <row r="995" spans="15:23" x14ac:dyDescent="0.25">
      <c r="O995" s="1">
        <f t="shared" si="80"/>
        <v>514</v>
      </c>
      <c r="Q995" s="12">
        <f t="shared" si="76"/>
        <v>3.4762069363583007E-3</v>
      </c>
      <c r="S995" s="13">
        <f t="shared" si="77"/>
        <v>1.7867703652881666</v>
      </c>
      <c r="U995" s="13">
        <f t="shared" si="78"/>
        <v>1.5642931213612352</v>
      </c>
      <c r="V995" s="12"/>
      <c r="W995" s="13">
        <f t="shared" si="79"/>
        <v>0.20952117785995564</v>
      </c>
    </row>
    <row r="996" spans="15:23" x14ac:dyDescent="0.25">
      <c r="O996" s="1">
        <f t="shared" si="80"/>
        <v>513</v>
      </c>
      <c r="Q996" s="12">
        <f t="shared" si="76"/>
        <v>3.4818309209870596E-3</v>
      </c>
      <c r="S996" s="13">
        <f t="shared" si="77"/>
        <v>1.7861792624663615</v>
      </c>
      <c r="U996" s="13">
        <f t="shared" si="78"/>
        <v>1.5668239144441769</v>
      </c>
      <c r="V996" s="12"/>
      <c r="W996" s="13">
        <f t="shared" si="79"/>
        <v>0.20658108701932323</v>
      </c>
    </row>
    <row r="997" spans="15:23" x14ac:dyDescent="0.25">
      <c r="O997" s="1">
        <f t="shared" si="80"/>
        <v>512</v>
      </c>
      <c r="Q997" s="12">
        <f t="shared" si="76"/>
        <v>3.4872086316860593E-3</v>
      </c>
      <c r="S997" s="13">
        <f t="shared" si="77"/>
        <v>1.7854508194232623</v>
      </c>
      <c r="U997" s="13">
        <f t="shared" si="78"/>
        <v>1.5692438842587266</v>
      </c>
      <c r="V997" s="12"/>
      <c r="W997" s="13">
        <f t="shared" si="79"/>
        <v>0.20361602345290888</v>
      </c>
    </row>
    <row r="998" spans="15:23" x14ac:dyDescent="0.25">
      <c r="O998" s="1">
        <f t="shared" si="80"/>
        <v>511</v>
      </c>
      <c r="Q998" s="12">
        <f t="shared" si="76"/>
        <v>3.4923373779173917E-3</v>
      </c>
      <c r="S998" s="13">
        <f t="shared" si="77"/>
        <v>1.7845844001157871</v>
      </c>
      <c r="U998" s="13">
        <f t="shared" si="78"/>
        <v>1.5715518200628262</v>
      </c>
      <c r="V998" s="12"/>
      <c r="W998" s="13">
        <f t="shared" si="79"/>
        <v>0.20062652839182585</v>
      </c>
    </row>
    <row r="999" spans="15:23" x14ac:dyDescent="0.25">
      <c r="O999" s="1">
        <f t="shared" si="80"/>
        <v>510</v>
      </c>
      <c r="Q999" s="12">
        <f t="shared" si="76"/>
        <v>3.4972145022669366E-3</v>
      </c>
      <c r="S999" s="13">
        <f t="shared" si="77"/>
        <v>1.7835793961561377</v>
      </c>
      <c r="U999" s="13">
        <f t="shared" si="78"/>
        <v>1.5737465260201216</v>
      </c>
      <c r="V999" s="12"/>
      <c r="W999" s="13">
        <f t="shared" si="79"/>
        <v>0.19761315507428948</v>
      </c>
    </row>
    <row r="1000" spans="15:23" x14ac:dyDescent="0.25">
      <c r="O1000" s="1">
        <f t="shared" si="80"/>
        <v>509</v>
      </c>
      <c r="Q1000" s="12">
        <f t="shared" si="76"/>
        <v>3.501837381775333E-3</v>
      </c>
      <c r="S1000" s="13">
        <f t="shared" si="77"/>
        <v>1.7824352273236446</v>
      </c>
      <c r="U1000" s="13">
        <f t="shared" si="78"/>
        <v>1.5758268217988998</v>
      </c>
      <c r="V1000" s="12"/>
      <c r="W1000" s="13">
        <f t="shared" si="79"/>
        <v>0.1945764686635966</v>
      </c>
    </row>
    <row r="1001" spans="15:23" x14ac:dyDescent="0.25">
      <c r="O1001" s="1">
        <f t="shared" si="80"/>
        <v>508</v>
      </c>
      <c r="Q1001" s="12">
        <f t="shared" si="76"/>
        <v>3.5062034292760494E-3</v>
      </c>
      <c r="S1001" s="13">
        <f t="shared" si="77"/>
        <v>1.7811513420722331</v>
      </c>
      <c r="U1001" s="13">
        <f t="shared" si="78"/>
        <v>1.5777915431742222</v>
      </c>
      <c r="V1001" s="12"/>
      <c r="W1001" s="13">
        <f t="shared" si="79"/>
        <v>0.19151704615897189</v>
      </c>
    </row>
    <row r="1002" spans="15:23" x14ac:dyDescent="0.25">
      <c r="O1002" s="1">
        <f t="shared" si="80"/>
        <v>507</v>
      </c>
      <c r="Q1002" s="12">
        <f t="shared" si="76"/>
        <v>3.5103100947397824E-3</v>
      </c>
      <c r="S1002" s="13">
        <f t="shared" si="77"/>
        <v>1.7797272180330697</v>
      </c>
      <c r="U1002" s="13">
        <f t="shared" si="78"/>
        <v>1.5796395426329022</v>
      </c>
      <c r="V1002" s="12"/>
      <c r="W1002" s="13">
        <f t="shared" si="79"/>
        <v>0.18843547629919527</v>
      </c>
    </row>
    <row r="1003" spans="15:23" x14ac:dyDescent="0.25">
      <c r="O1003" s="1">
        <f t="shared" si="80"/>
        <v>506</v>
      </c>
      <c r="Q1003" s="12">
        <f t="shared" si="76"/>
        <v>3.5141548666247739E-3</v>
      </c>
      <c r="S1003" s="13">
        <f t="shared" si="77"/>
        <v>1.7781623625121357</v>
      </c>
      <c r="U1003" s="13">
        <f t="shared" si="78"/>
        <v>1.5813696899811482</v>
      </c>
      <c r="V1003" s="12"/>
      <c r="W1003" s="13">
        <f t="shared" si="79"/>
        <v>0.18533235945894316</v>
      </c>
    </row>
    <row r="1004" spans="15:23" x14ac:dyDescent="0.25">
      <c r="O1004" s="1">
        <f t="shared" si="80"/>
        <v>505</v>
      </c>
      <c r="Q1004" s="12">
        <f t="shared" si="76"/>
        <v>3.5177352732323063E-3</v>
      </c>
      <c r="S1004" s="13">
        <f t="shared" si="77"/>
        <v>1.7764563129823148</v>
      </c>
      <c r="U1004" s="13">
        <f t="shared" si="78"/>
        <v>1.5829808729545378</v>
      </c>
      <c r="V1004" s="12"/>
      <c r="W1004" s="13">
        <f t="shared" si="79"/>
        <v>0.18220830753776665</v>
      </c>
    </row>
    <row r="1005" spans="15:23" x14ac:dyDescent="0.25">
      <c r="O1005" s="1">
        <f t="shared" si="80"/>
        <v>504</v>
      </c>
      <c r="Q1005" s="12">
        <f t="shared" si="76"/>
        <v>3.5210488840669066E-3</v>
      </c>
      <c r="S1005" s="13">
        <f t="shared" si="77"/>
        <v>1.774608637569721</v>
      </c>
      <c r="U1005" s="13">
        <f t="shared" si="78"/>
        <v>1.5844719978301081</v>
      </c>
      <c r="V1005" s="12"/>
      <c r="W1005" s="13">
        <f t="shared" si="79"/>
        <v>0.17906394384165289</v>
      </c>
    </row>
    <row r="1006" spans="15:23" x14ac:dyDescent="0.25">
      <c r="O1006" s="1">
        <f t="shared" si="80"/>
        <v>503</v>
      </c>
      <c r="Q1006" s="12">
        <f t="shared" si="76"/>
        <v>3.5240933112004442E-3</v>
      </c>
      <c r="S1006" s="13">
        <f t="shared" si="77"/>
        <v>1.7726189355338233</v>
      </c>
      <c r="U1006" s="13">
        <f t="shared" si="78"/>
        <v>1.5858419900401999</v>
      </c>
      <c r="V1006" s="12"/>
      <c r="W1006" s="13">
        <f t="shared" si="79"/>
        <v>0.17589990295709293</v>
      </c>
    </row>
    <row r="1007" spans="15:23" x14ac:dyDescent="0.25">
      <c r="O1007" s="1">
        <f t="shared" si="80"/>
        <v>502</v>
      </c>
      <c r="Q1007" s="12">
        <f t="shared" si="76"/>
        <v>3.5268662106396269E-3</v>
      </c>
      <c r="S1007" s="13">
        <f t="shared" si="77"/>
        <v>1.7704868377410927</v>
      </c>
      <c r="U1007" s="13">
        <f t="shared" si="78"/>
        <v>1.5870897947878322</v>
      </c>
      <c r="V1007" s="12"/>
      <c r="W1007" s="13">
        <f t="shared" si="79"/>
        <v>0.17271683061760784</v>
      </c>
    </row>
    <row r="1008" spans="15:23" x14ac:dyDescent="0.25">
      <c r="O1008" s="1">
        <f t="shared" si="80"/>
        <v>501</v>
      </c>
      <c r="Q1008" s="12">
        <f t="shared" si="76"/>
        <v>3.5293652836961751E-3</v>
      </c>
      <c r="S1008" s="13">
        <f t="shared" si="77"/>
        <v>1.7682120071317837</v>
      </c>
      <c r="U1008" s="13">
        <f t="shared" si="78"/>
        <v>1.5882143776632789</v>
      </c>
      <c r="V1008" s="12"/>
      <c r="W1008" s="13">
        <f t="shared" si="79"/>
        <v>0.16951538356267687</v>
      </c>
    </row>
    <row r="1009" spans="15:23" x14ac:dyDescent="0.25">
      <c r="O1009" s="1">
        <f t="shared" si="80"/>
        <v>500</v>
      </c>
      <c r="Q1009" s="12">
        <f t="shared" si="76"/>
        <v>3.531588278358937E-3</v>
      </c>
      <c r="S1009" s="13">
        <f t="shared" si="77"/>
        <v>1.7657941391794685</v>
      </c>
      <c r="U1009" s="13">
        <f t="shared" si="78"/>
        <v>1.5892147252615216</v>
      </c>
      <c r="V1009" s="12"/>
      <c r="W1009" s="13">
        <f t="shared" si="79"/>
        <v>0.1662962293890152</v>
      </c>
    </row>
    <row r="1010" spans="15:23" x14ac:dyDescent="0.25">
      <c r="O1010" s="1">
        <f t="shared" si="80"/>
        <v>499</v>
      </c>
      <c r="Q1010" s="12">
        <f t="shared" si="76"/>
        <v>3.5335329906673462E-3</v>
      </c>
      <c r="S1010" s="13">
        <f t="shared" si="77"/>
        <v>1.7632329623430056</v>
      </c>
      <c r="U1010" s="13">
        <f t="shared" si="78"/>
        <v>1.5900898458003059</v>
      </c>
      <c r="V1010" s="12"/>
      <c r="W1010" s="13">
        <f t="shared" si="79"/>
        <v>0.16306004639415886</v>
      </c>
    </row>
    <row r="1011" spans="15:23" x14ac:dyDescent="0.25">
      <c r="O1011" s="1">
        <f t="shared" si="80"/>
        <v>498</v>
      </c>
      <c r="Q1011" s="12">
        <f t="shared" si="76"/>
        <v>3.5351972660853902E-3</v>
      </c>
      <c r="S1011" s="13">
        <f t="shared" si="77"/>
        <v>1.7605282385105243</v>
      </c>
      <c r="U1011" s="13">
        <f t="shared" si="78"/>
        <v>1.5908387697384256</v>
      </c>
      <c r="V1011" s="12"/>
      <c r="W1011" s="13">
        <f t="shared" si="79"/>
        <v>0.15980752341231444</v>
      </c>
    </row>
    <row r="1012" spans="15:23" x14ac:dyDescent="0.25">
      <c r="O1012" s="1">
        <f t="shared" si="80"/>
        <v>497</v>
      </c>
      <c r="Q1012" s="12">
        <f t="shared" si="76"/>
        <v>3.5365790008754974E-3</v>
      </c>
      <c r="S1012" s="13">
        <f t="shared" si="77"/>
        <v>1.7576797634351222</v>
      </c>
      <c r="U1012" s="13">
        <f t="shared" si="78"/>
        <v>1.5914605503939738</v>
      </c>
      <c r="V1012" s="12"/>
      <c r="W1012" s="13">
        <f t="shared" si="79"/>
        <v>0.15653935964243798</v>
      </c>
    </row>
    <row r="1013" spans="15:23" x14ac:dyDescent="0.25">
      <c r="O1013" s="1">
        <f t="shared" si="80"/>
        <v>496</v>
      </c>
      <c r="Q1013" s="12">
        <f t="shared" si="76"/>
        <v>3.5376761434714266E-3</v>
      </c>
      <c r="S1013" s="13">
        <f t="shared" si="77"/>
        <v>1.7546873671618275</v>
      </c>
      <c r="U1013" s="13">
        <f t="shared" si="78"/>
        <v>1.5919542645621421</v>
      </c>
      <c r="V1013" s="12"/>
      <c r="W1013" s="13">
        <f t="shared" si="79"/>
        <v>0.15325626446851046</v>
      </c>
    </row>
    <row r="1014" spans="15:23" x14ac:dyDescent="0.25">
      <c r="O1014" s="1">
        <f t="shared" si="80"/>
        <v>495</v>
      </c>
      <c r="Q1014" s="12">
        <f t="shared" si="76"/>
        <v>3.538486695849539E-3</v>
      </c>
      <c r="S1014" s="13">
        <f t="shared" si="77"/>
        <v>1.7515509144455217</v>
      </c>
      <c r="U1014" s="13">
        <f t="shared" si="78"/>
        <v>1.5923190131322926</v>
      </c>
      <c r="V1014" s="12"/>
      <c r="W1014" s="13">
        <f t="shared" si="79"/>
        <v>0.1499589572719863</v>
      </c>
    </row>
    <row r="1015" spans="15:23" x14ac:dyDescent="0.25">
      <c r="O1015" s="1">
        <f t="shared" si="80"/>
        <v>494</v>
      </c>
      <c r="Q1015" s="12">
        <f t="shared" si="76"/>
        <v>3.5390087148976157E-3</v>
      </c>
      <c r="S1015" s="13">
        <f t="shared" si="77"/>
        <v>1.7482703051594222</v>
      </c>
      <c r="U1015" s="13">
        <f t="shared" si="78"/>
        <v>1.5925539217039271</v>
      </c>
      <c r="V1015" s="12"/>
      <c r="W1015" s="13">
        <f t="shared" si="79"/>
        <v>0.14664816723639038</v>
      </c>
    </row>
    <row r="1016" spans="15:23" x14ac:dyDescent="0.25">
      <c r="O1016" s="1">
        <f t="shared" si="80"/>
        <v>493</v>
      </c>
      <c r="Q1016" s="12">
        <f t="shared" si="76"/>
        <v>3.5392403137803749E-3</v>
      </c>
      <c r="S1016" s="13">
        <f t="shared" si="77"/>
        <v>1.7448454746937248</v>
      </c>
      <c r="U1016" s="13">
        <f t="shared" si="78"/>
        <v>1.5926581412011687</v>
      </c>
      <c r="V1016" s="12"/>
      <c r="W1016" s="13">
        <f t="shared" si="79"/>
        <v>0.14332463314404759</v>
      </c>
    </row>
    <row r="1017" spans="15:23" x14ac:dyDescent="0.25">
      <c r="O1017" s="1">
        <f t="shared" si="80"/>
        <v>492</v>
      </c>
      <c r="Q1017" s="12">
        <f t="shared" si="76"/>
        <v>3.5391796633010022E-3</v>
      </c>
      <c r="S1017" s="13">
        <f t="shared" si="77"/>
        <v>1.741276394344093</v>
      </c>
      <c r="U1017" s="13">
        <f t="shared" si="78"/>
        <v>1.592630848485451</v>
      </c>
      <c r="V1017" s="12"/>
      <c r="W1017" s="13">
        <f t="shared" si="79"/>
        <v>0.13998910316494001</v>
      </c>
    </row>
    <row r="1018" spans="15:23" x14ac:dyDescent="0.25">
      <c r="O1018" s="1">
        <f t="shared" si="80"/>
        <v>491</v>
      </c>
      <c r="Q1018" s="12">
        <f t="shared" si="76"/>
        <v>3.538824993257719E-3</v>
      </c>
      <c r="S1018" s="13">
        <f t="shared" si="77"/>
        <v>1.7375630716895401</v>
      </c>
      <c r="U1018" s="13">
        <f t="shared" si="78"/>
        <v>1.5924712469659736</v>
      </c>
      <c r="V1018" s="12"/>
      <c r="W1018" s="13">
        <f t="shared" si="79"/>
        <v>0.13664233463767708</v>
      </c>
    </row>
    <row r="1019" spans="15:23" x14ac:dyDescent="0.25">
      <c r="O1019" s="1">
        <f t="shared" si="80"/>
        <v>490</v>
      </c>
      <c r="Q1019" s="12">
        <f t="shared" si="76"/>
        <v>3.5381745937946791E-3</v>
      </c>
      <c r="S1019" s="13">
        <f t="shared" si="77"/>
        <v>1.7337055509593928</v>
      </c>
      <c r="U1019" s="13">
        <f t="shared" si="78"/>
        <v>1.5921785672076056</v>
      </c>
      <c r="V1019" s="12"/>
      <c r="W1019" s="13">
        <f t="shared" si="79"/>
        <v>0.13328509384258741</v>
      </c>
    </row>
    <row r="1020" spans="15:23" x14ac:dyDescent="0.25">
      <c r="O1020" s="1">
        <f t="shared" si="80"/>
        <v>489</v>
      </c>
      <c r="Q1020" s="12">
        <f t="shared" si="76"/>
        <v>3.5372268167462467E-3</v>
      </c>
      <c r="S1020" s="13">
        <f t="shared" si="77"/>
        <v>1.7297039133889147</v>
      </c>
      <c r="U1020" s="13">
        <f t="shared" si="78"/>
        <v>1.591752067535811</v>
      </c>
      <c r="V1020" s="12"/>
      <c r="W1020" s="13">
        <f t="shared" si="79"/>
        <v>0.12991815576693438</v>
      </c>
    </row>
    <row r="1021" spans="15:23" x14ac:dyDescent="0.25">
      <c r="O1021" s="1">
        <f t="shared" si="80"/>
        <v>488</v>
      </c>
      <c r="Q1021" s="12">
        <f t="shared" si="76"/>
        <v>3.535980076973852E-3</v>
      </c>
      <c r="S1021" s="13">
        <f t="shared" si="77"/>
        <v>1.7255582775632399</v>
      </c>
      <c r="U1021" s="13">
        <f t="shared" si="78"/>
        <v>1.5911910346382334</v>
      </c>
      <c r="V1021" s="12"/>
      <c r="W1021" s="13">
        <f t="shared" si="79"/>
        <v>0.12654230386227014</v>
      </c>
    </row>
    <row r="1022" spans="15:23" x14ac:dyDescent="0.25">
      <c r="O1022" s="1">
        <f t="shared" si="80"/>
        <v>487</v>
      </c>
      <c r="Q1022" s="12">
        <f t="shared" si="76"/>
        <v>3.5344328536944798E-3</v>
      </c>
      <c r="S1022" s="13">
        <f t="shared" si="77"/>
        <v>1.7212687997492118</v>
      </c>
      <c r="U1022" s="13">
        <f t="shared" si="78"/>
        <v>1.5904947841625159</v>
      </c>
      <c r="V1022" s="12"/>
      <c r="W1022" s="13">
        <f t="shared" si="79"/>
        <v>0.12315832979394392</v>
      </c>
    </row>
    <row r="1023" spans="15:23" x14ac:dyDescent="0.25">
      <c r="O1023" s="1">
        <f t="shared" si="80"/>
        <v>486</v>
      </c>
      <c r="Q1023" s="12">
        <f t="shared" si="76"/>
        <v>3.5325836917999478E-3</v>
      </c>
      <c r="S1023" s="13">
        <f t="shared" si="77"/>
        <v>1.7168356742147746</v>
      </c>
      <c r="U1023" s="13">
        <f t="shared" si="78"/>
        <v>1.5896626613099765</v>
      </c>
      <c r="V1023" s="12"/>
      <c r="W1023" s="13">
        <f t="shared" si="79"/>
        <v>0.11976703318279082</v>
      </c>
    </row>
    <row r="1024" spans="15:23" x14ac:dyDescent="0.25">
      <c r="O1024" s="1">
        <f t="shared" si="80"/>
        <v>485</v>
      </c>
      <c r="Q1024" s="12">
        <f t="shared" si="76"/>
        <v>3.5304312031660561E-3</v>
      </c>
      <c r="S1024" s="13">
        <f t="shared" si="77"/>
        <v>1.7122591335355373</v>
      </c>
      <c r="U1024" s="13">
        <f t="shared" si="78"/>
        <v>1.5886940414247253</v>
      </c>
      <c r="V1024" s="12"/>
      <c r="W1024" s="13">
        <f t="shared" si="79"/>
        <v>0.1163692213390336</v>
      </c>
    </row>
    <row r="1025" spans="15:23" x14ac:dyDescent="0.25">
      <c r="O1025" s="1">
        <f t="shared" si="80"/>
        <v>484</v>
      </c>
      <c r="Q1025" s="12">
        <f t="shared" si="76"/>
        <v>3.5279740679506149E-3</v>
      </c>
      <c r="S1025" s="13">
        <f t="shared" si="77"/>
        <v>1.7075394488880975</v>
      </c>
      <c r="U1025" s="13">
        <f t="shared" si="78"/>
        <v>1.5875883305777767</v>
      </c>
      <c r="V1025" s="12"/>
      <c r="W1025" s="13">
        <f t="shared" si="79"/>
        <v>0.1129657089884283</v>
      </c>
    </row>
    <row r="1026" spans="15:23" x14ac:dyDescent="0.25">
      <c r="O1026" s="1">
        <f t="shared" si="80"/>
        <v>483</v>
      </c>
      <c r="Q1026" s="12">
        <f t="shared" si="76"/>
        <v>3.5252110358795466E-3</v>
      </c>
      <c r="S1026" s="13">
        <f t="shared" si="77"/>
        <v>1.702676930329821</v>
      </c>
      <c r="U1026" s="13">
        <f t="shared" si="78"/>
        <v>1.586344966145796</v>
      </c>
      <c r="V1026" s="12"/>
      <c r="W1026" s="13">
        <f t="shared" si="79"/>
        <v>0.10955731799070785</v>
      </c>
    </row>
    <row r="1027" spans="15:23" x14ac:dyDescent="0.25">
      <c r="O1027" s="1">
        <f t="shared" si="80"/>
        <v>482</v>
      </c>
      <c r="Q1027" s="12">
        <f t="shared" si="76"/>
        <v>3.5221409275200165E-3</v>
      </c>
      <c r="S1027" s="13">
        <f t="shared" si="77"/>
        <v>1.6976719270646479</v>
      </c>
      <c r="U1027" s="13">
        <f t="shared" si="78"/>
        <v>1.5849634173840075</v>
      </c>
      <c r="V1027" s="12"/>
      <c r="W1027" s="13">
        <f t="shared" si="79"/>
        <v>0.10614487705036407</v>
      </c>
    </row>
    <row r="1028" spans="15:23" x14ac:dyDescent="0.25">
      <c r="O1028" s="1">
        <f t="shared" si="80"/>
        <v>481</v>
      </c>
      <c r="Q1028" s="12">
        <f t="shared" si="76"/>
        <v>3.518762635539594E-3</v>
      </c>
      <c r="S1028" s="13">
        <f t="shared" si="77"/>
        <v>1.6925248276945446</v>
      </c>
      <c r="U1028" s="13">
        <f t="shared" si="78"/>
        <v>1.5834431859928173</v>
      </c>
      <c r="V1028" s="12"/>
      <c r="W1028" s="13">
        <f t="shared" si="79"/>
        <v>0.10272922141983135</v>
      </c>
    </row>
    <row r="1029" spans="15:23" x14ac:dyDescent="0.25">
      <c r="O1029" s="1">
        <f t="shared" si="80"/>
        <v>480</v>
      </c>
      <c r="Q1029" s="12">
        <f t="shared" si="76"/>
        <v>3.5150751259506703E-3</v>
      </c>
      <c r="S1029" s="13">
        <f t="shared" si="77"/>
        <v>1.6872360604563217</v>
      </c>
      <c r="U1029" s="13">
        <f t="shared" si="78"/>
        <v>1.5817838066778016</v>
      </c>
      <c r="V1029" s="12"/>
      <c r="W1029" s="13">
        <f t="shared" si="79"/>
        <v>9.9311192595135794E-2</v>
      </c>
    </row>
    <row r="1030" spans="15:23" x14ac:dyDescent="0.25">
      <c r="O1030" s="1">
        <f t="shared" si="80"/>
        <v>479</v>
      </c>
      <c r="Q1030" s="12">
        <f t="shared" si="76"/>
        <v>3.5110774393389082E-3</v>
      </c>
      <c r="S1030" s="13">
        <f t="shared" si="77"/>
        <v>1.681806093443337</v>
      </c>
      <c r="U1030" s="13">
        <f t="shared" si="78"/>
        <v>1.5799848477025087</v>
      </c>
      <c r="V1030" s="12"/>
      <c r="W1030" s="13">
        <f t="shared" si="79"/>
        <v>9.5891638004078322E-2</v>
      </c>
    </row>
    <row r="1031" spans="15:23" x14ac:dyDescent="0.25">
      <c r="O1031" s="1">
        <f t="shared" si="80"/>
        <v>478</v>
      </c>
      <c r="Q1031" s="12">
        <f t="shared" si="76"/>
        <v>3.5067686920749117E-3</v>
      </c>
      <c r="S1031" s="13">
        <f t="shared" si="77"/>
        <v>1.6762354348118078</v>
      </c>
      <c r="U1031" s="13">
        <f t="shared" si="78"/>
        <v>1.5780459114337102</v>
      </c>
      <c r="V1031" s="12"/>
      <c r="W1031" s="13">
        <f t="shared" si="79"/>
        <v>9.2471410687033781E-2</v>
      </c>
    </row>
    <row r="1032" spans="15:23" x14ac:dyDescent="0.25">
      <c r="O1032" s="1">
        <f t="shared" si="80"/>
        <v>477</v>
      </c>
      <c r="Q1032" s="12">
        <f t="shared" si="76"/>
        <v>3.5021480775080096E-3</v>
      </c>
      <c r="S1032" s="13">
        <f t="shared" si="77"/>
        <v>1.6705246329713206</v>
      </c>
      <c r="U1032" s="13">
        <f t="shared" si="78"/>
        <v>1.5759666348786043</v>
      </c>
      <c r="V1032" s="12"/>
      <c r="W1032" s="13">
        <f t="shared" si="79"/>
        <v>8.9051368970447201E-2</v>
      </c>
    </row>
    <row r="1033" spans="15:23" x14ac:dyDescent="0.25">
      <c r="O1033" s="1">
        <f t="shared" si="80"/>
        <v>476</v>
      </c>
      <c r="Q1033" s="12">
        <f t="shared" si="76"/>
        <v>3.4972148671412596E-3</v>
      </c>
      <c r="S1033" s="13">
        <f t="shared" si="77"/>
        <v>1.6646742767592395</v>
      </c>
      <c r="U1033" s="13">
        <f t="shared" si="78"/>
        <v>1.5737466902135668</v>
      </c>
      <c r="V1033" s="12"/>
      <c r="W1033" s="13">
        <f t="shared" si="79"/>
        <v>8.5632376133126839E-2</v>
      </c>
    </row>
    <row r="1034" spans="15:23" x14ac:dyDescent="0.25">
      <c r="O1034" s="1">
        <f t="shared" si="80"/>
        <v>475</v>
      </c>
      <c r="Q1034" s="12">
        <f t="shared" ref="Q1034:Q1097" si="81">_xlfn.LOGNORM.DIST(O1034,$D$25,$D$26,FALSE)</f>
        <v>3.4919684117865105E-3</v>
      </c>
      <c r="S1034" s="13">
        <f t="shared" ref="S1034:S1097" si="82">IF(O1034&gt;$D$6,O1034*Q1034,0)</f>
        <v>1.6586849955985925</v>
      </c>
      <c r="U1034" s="13">
        <f t="shared" ref="U1034:U1097" si="83">IF(O1034&gt;$D$6,$D$6*Q1034,0)</f>
        <v>1.5713857853039297</v>
      </c>
      <c r="V1034" s="12"/>
      <c r="W1034" s="13">
        <f t="shared" ref="W1034:W1097" si="84">(S1034-U1034)*EXP(-$D$9*$D$7)</f>
        <v>8.2215300065426364E-2</v>
      </c>
    </row>
    <row r="1035" spans="15:23" x14ac:dyDescent="0.25">
      <c r="O1035" s="1">
        <f t="shared" ref="O1035:O1098" si="85">O1034-1</f>
        <v>474</v>
      </c>
      <c r="Q1035" s="12">
        <f t="shared" si="81"/>
        <v>3.4864081426986219E-3</v>
      </c>
      <c r="S1035" s="13">
        <f t="shared" si="82"/>
        <v>1.6525574596391468</v>
      </c>
      <c r="U1035" s="13">
        <f t="shared" si="83"/>
        <v>1.5688836642143797</v>
      </c>
      <c r="V1035" s="12"/>
      <c r="W1035" s="13">
        <f t="shared" si="84"/>
        <v>7.8801012921429589E-2</v>
      </c>
    </row>
    <row r="1036" spans="15:23" x14ac:dyDescent="0.25">
      <c r="O1036" s="1">
        <f t="shared" si="85"/>
        <v>473</v>
      </c>
      <c r="Q1036" s="12">
        <f t="shared" si="81"/>
        <v>3.4805335726877449E-3</v>
      </c>
      <c r="S1036" s="13">
        <f t="shared" si="82"/>
        <v>1.6462923798813034</v>
      </c>
      <c r="U1036" s="13">
        <f t="shared" si="83"/>
        <v>1.5662401077094852</v>
      </c>
      <c r="V1036" s="12"/>
      <c r="W1036" s="13">
        <f t="shared" si="84"/>
        <v>7.5390390764251705E-2</v>
      </c>
    </row>
    <row r="1037" spans="15:23" x14ac:dyDescent="0.25">
      <c r="O1037" s="1">
        <f t="shared" si="85"/>
        <v>472</v>
      </c>
      <c r="Q1037" s="12">
        <f t="shared" si="81"/>
        <v>3.474344297208672E-3</v>
      </c>
      <c r="S1037" s="13">
        <f t="shared" si="82"/>
        <v>1.6398905082824933</v>
      </c>
      <c r="U1037" s="13">
        <f t="shared" si="83"/>
        <v>1.5634549337439023</v>
      </c>
      <c r="V1037" s="12"/>
      <c r="W1037" s="13">
        <f t="shared" si="84"/>
        <v>7.1984313204580194E-2</v>
      </c>
    </row>
    <row r="1038" spans="15:23" x14ac:dyDescent="0.25">
      <c r="O1038" s="1">
        <f t="shared" si="85"/>
        <v>471</v>
      </c>
      <c r="Q1038" s="12">
        <f t="shared" si="81"/>
        <v>3.4678399954261555E-3</v>
      </c>
      <c r="S1038" s="13">
        <f t="shared" si="82"/>
        <v>1.6333526378457193</v>
      </c>
      <c r="U1038" s="13">
        <f t="shared" si="83"/>
        <v>1.5605279979417699</v>
      </c>
      <c r="V1038" s="12"/>
      <c r="W1038" s="13">
        <f t="shared" si="84"/>
        <v>6.8583663032583758E-2</v>
      </c>
    </row>
    <row r="1039" spans="15:23" x14ac:dyDescent="0.25">
      <c r="O1039" s="1">
        <f t="shared" si="85"/>
        <v>470</v>
      </c>
      <c r="Q1039" s="12">
        <f t="shared" si="81"/>
        <v>3.4610204312551748E-3</v>
      </c>
      <c r="S1039" s="13">
        <f t="shared" si="82"/>
        <v>1.6266796026899322</v>
      </c>
      <c r="U1039" s="13">
        <f t="shared" si="83"/>
        <v>1.5574591940648286</v>
      </c>
      <c r="V1039" s="12"/>
      <c r="W1039" s="13">
        <f t="shared" si="84"/>
        <v>6.5189325843331786E-2</v>
      </c>
    </row>
    <row r="1040" spans="15:23" x14ac:dyDescent="0.25">
      <c r="O1040" s="1">
        <f t="shared" si="85"/>
        <v>469</v>
      </c>
      <c r="Q1040" s="12">
        <f t="shared" si="81"/>
        <v>3.4538854543751632E-3</v>
      </c>
      <c r="S1040" s="13">
        <f t="shared" si="82"/>
        <v>1.6198722781019514</v>
      </c>
      <c r="U1040" s="13">
        <f t="shared" si="83"/>
        <v>1.5542484544688235</v>
      </c>
      <c r="V1040" s="12"/>
      <c r="W1040" s="13">
        <f t="shared" si="84"/>
        <v>6.1802189655867701E-2</v>
      </c>
    </row>
    <row r="1041" spans="15:23" x14ac:dyDescent="0.25">
      <c r="O1041" s="1">
        <f t="shared" si="85"/>
        <v>468</v>
      </c>
      <c r="Q1041" s="12">
        <f t="shared" si="81"/>
        <v>3.4464350012170159E-3</v>
      </c>
      <c r="S1041" s="13">
        <f t="shared" si="82"/>
        <v>1.6129315805695634</v>
      </c>
      <c r="U1041" s="13">
        <f t="shared" si="83"/>
        <v>1.5508957505476573</v>
      </c>
      <c r="V1041" s="12"/>
      <c r="W1041" s="13">
        <f t="shared" si="84"/>
        <v>5.8423144526092187E-2</v>
      </c>
    </row>
    <row r="1042" spans="15:23" x14ac:dyDescent="0.25">
      <c r="O1042" s="1">
        <f t="shared" si="85"/>
        <v>467</v>
      </c>
      <c r="Q1042" s="12">
        <f t="shared" si="81"/>
        <v>3.4386690959218994E-3</v>
      </c>
      <c r="S1042" s="13">
        <f t="shared" si="82"/>
        <v>1.605858467795527</v>
      </c>
      <c r="U1042" s="13">
        <f t="shared" si="83"/>
        <v>1.5474010931648547</v>
      </c>
      <c r="V1042" s="12"/>
      <c r="W1042" s="13">
        <f t="shared" si="84"/>
        <v>5.5053082153614742E-2</v>
      </c>
    </row>
    <row r="1043" spans="15:23" x14ac:dyDescent="0.25">
      <c r="O1043" s="1">
        <f t="shared" si="85"/>
        <v>466</v>
      </c>
      <c r="Q1043" s="12">
        <f t="shared" si="81"/>
        <v>3.4305878512708521E-3</v>
      </c>
      <c r="S1043" s="13">
        <f t="shared" si="82"/>
        <v>1.5986539386922172</v>
      </c>
      <c r="U1043" s="13">
        <f t="shared" si="83"/>
        <v>1.5437645330718834</v>
      </c>
      <c r="V1043" s="12"/>
      <c r="W1043" s="13">
        <f t="shared" si="84"/>
        <v>5.1692895482750238E-2</v>
      </c>
    </row>
    <row r="1044" spans="15:23" x14ac:dyDescent="0.25">
      <c r="O1044" s="1">
        <f t="shared" si="85"/>
        <v>465</v>
      </c>
      <c r="Q1044" s="12">
        <f t="shared" si="81"/>
        <v>3.4221914695839492E-3</v>
      </c>
      <c r="S1044" s="13">
        <f t="shared" si="82"/>
        <v>1.5913190333565363</v>
      </c>
      <c r="U1044" s="13">
        <f t="shared" si="83"/>
        <v>1.5399861613127772</v>
      </c>
      <c r="V1044" s="12"/>
      <c r="W1044" s="13">
        <f t="shared" si="84"/>
        <v>4.8343478297830741E-2</v>
      </c>
    </row>
    <row r="1045" spans="15:23" x14ac:dyDescent="0.25">
      <c r="O1045" s="1">
        <f t="shared" si="85"/>
        <v>464</v>
      </c>
      <c r="Q1045" s="12">
        <f t="shared" si="81"/>
        <v>3.4134802435881531E-3</v>
      </c>
      <c r="S1045" s="13">
        <f t="shared" si="82"/>
        <v>1.5838548330249029</v>
      </c>
      <c r="U1045" s="13">
        <f t="shared" si="83"/>
        <v>1.5360661096146688</v>
      </c>
      <c r="V1045" s="12"/>
      <c r="W1045" s="13">
        <f t="shared" si="84"/>
        <v>4.5005724813025789E-2</v>
      </c>
    </row>
    <row r="1046" spans="15:23" x14ac:dyDescent="0.25">
      <c r="O1046" s="1">
        <f t="shared" si="85"/>
        <v>463</v>
      </c>
      <c r="Q1046" s="12">
        <f t="shared" si="81"/>
        <v>3.4044545572526935E-3</v>
      </c>
      <c r="S1046" s="13">
        <f t="shared" si="82"/>
        <v>1.5762624600079971</v>
      </c>
      <c r="U1046" s="13">
        <f t="shared" si="83"/>
        <v>1.5320045507637121</v>
      </c>
      <c r="V1046" s="12"/>
      <c r="W1046" s="13">
        <f t="shared" si="84"/>
        <v>4.1680529256858043E-2</v>
      </c>
    </row>
    <row r="1047" spans="15:23" x14ac:dyDescent="0.25">
      <c r="O1047" s="1">
        <f t="shared" si="85"/>
        <v>462</v>
      </c>
      <c r="Q1047" s="12">
        <f t="shared" si="81"/>
        <v>3.3951148865909316E-3</v>
      </c>
      <c r="S1047" s="13">
        <f t="shared" si="82"/>
        <v>1.5685430776050104</v>
      </c>
      <c r="U1047" s="13">
        <f t="shared" si="83"/>
        <v>1.5278016989659193</v>
      </c>
      <c r="V1047" s="12"/>
      <c r="W1047" s="13">
        <f t="shared" si="84"/>
        <v>3.8368785451622908E-2</v>
      </c>
    </row>
    <row r="1048" spans="15:23" x14ac:dyDescent="0.25">
      <c r="O1048" s="1">
        <f t="shared" si="85"/>
        <v>461</v>
      </c>
      <c r="Q1048" s="12">
        <f t="shared" si="81"/>
        <v>3.3854618004276527E-3</v>
      </c>
      <c r="S1048" s="13">
        <f t="shared" si="82"/>
        <v>1.560697889997148</v>
      </c>
      <c r="U1048" s="13">
        <f t="shared" si="83"/>
        <v>1.5234578101924436</v>
      </c>
      <c r="V1048" s="12"/>
      <c r="W1048" s="13">
        <f t="shared" si="84"/>
        <v>3.5071386387917583E-2</v>
      </c>
    </row>
    <row r="1049" spans="15:23" x14ac:dyDescent="0.25">
      <c r="O1049" s="1">
        <f t="shared" si="85"/>
        <v>460</v>
      </c>
      <c r="Q1049" s="12">
        <f t="shared" si="81"/>
        <v>3.375495961130741E-3</v>
      </c>
      <c r="S1049" s="13">
        <f t="shared" si="82"/>
        <v>1.5527281421201409</v>
      </c>
      <c r="U1049" s="13">
        <f t="shared" si="83"/>
        <v>1.5189731825088335</v>
      </c>
      <c r="V1049" s="12"/>
      <c r="W1049" s="13">
        <f t="shared" si="84"/>
        <v>3.1789223794498035E-2</v>
      </c>
    </row>
    <row r="1050" spans="15:23" x14ac:dyDescent="0.25">
      <c r="O1050" s="1">
        <f t="shared" si="85"/>
        <v>459</v>
      </c>
      <c r="Q1050" s="12">
        <f t="shared" si="81"/>
        <v>3.3652181253062139E-3</v>
      </c>
      <c r="S1050" s="13">
        <f t="shared" si="82"/>
        <v>1.5446351195155521</v>
      </c>
      <c r="U1050" s="13">
        <f t="shared" si="83"/>
        <v>1.5143481563877963</v>
      </c>
      <c r="V1050" s="12"/>
      <c r="W1050" s="13">
        <f t="shared" si="84"/>
        <v>2.8523187703694285E-2</v>
      </c>
    </row>
    <row r="1051" spans="15:23" x14ac:dyDescent="0.25">
      <c r="O1051" s="1">
        <f t="shared" si="85"/>
        <v>458</v>
      </c>
      <c r="Q1051" s="12">
        <f t="shared" si="81"/>
        <v>3.3546291444555101E-3</v>
      </c>
      <c r="S1051" s="13">
        <f t="shared" si="82"/>
        <v>1.5364201481606237</v>
      </c>
      <c r="U1051" s="13">
        <f t="shared" si="83"/>
        <v>1.5095831150049794</v>
      </c>
      <c r="V1051" s="12"/>
      <c r="W1051" s="13">
        <f t="shared" si="84"/>
        <v>2.5274166012610306E-2</v>
      </c>
    </row>
    <row r="1052" spans="15:23" x14ac:dyDescent="0.25">
      <c r="O1052" s="1">
        <f t="shared" si="85"/>
        <v>457</v>
      </c>
      <c r="Q1052" s="12">
        <f t="shared" si="81"/>
        <v>3.3437299655940645E-3</v>
      </c>
      <c r="S1052" s="13">
        <f t="shared" si="82"/>
        <v>1.5280845942764876</v>
      </c>
      <c r="U1052" s="13">
        <f t="shared" si="83"/>
        <v>1.5046784845173291</v>
      </c>
      <c r="V1052" s="12"/>
      <c r="W1052" s="13">
        <f t="shared" si="84"/>
        <v>2.2043044040355605E-2</v>
      </c>
    </row>
    <row r="1053" spans="15:23" x14ac:dyDescent="0.25">
      <c r="O1053" s="1">
        <f t="shared" si="85"/>
        <v>456</v>
      </c>
      <c r="Q1053" s="12">
        <f t="shared" si="81"/>
        <v>3.3325216318301127E-3</v>
      </c>
      <c r="S1053" s="13">
        <f t="shared" si="82"/>
        <v>1.5196298641145314</v>
      </c>
      <c r="U1053" s="13">
        <f t="shared" si="83"/>
        <v>1.4996347343235508</v>
      </c>
      <c r="V1053" s="12"/>
      <c r="W1053" s="13">
        <f t="shared" si="84"/>
        <v>1.8830704081559374E-2</v>
      </c>
    </row>
    <row r="1054" spans="15:23" x14ac:dyDescent="0.25">
      <c r="O1054" s="1">
        <f t="shared" si="85"/>
        <v>455</v>
      </c>
      <c r="Q1054" s="12">
        <f t="shared" si="81"/>
        <v>3.3210052829026632E-3</v>
      </c>
      <c r="S1054" s="13">
        <f t="shared" si="82"/>
        <v>1.5110574037207118</v>
      </c>
      <c r="U1054" s="13">
        <f t="shared" si="83"/>
        <v>1.4944523773061984</v>
      </c>
      <c r="V1054" s="12"/>
      <c r="W1054" s="13">
        <f t="shared" si="84"/>
        <v>1.5638024956418386E-2</v>
      </c>
    </row>
    <row r="1055" spans="15:23" x14ac:dyDescent="0.25">
      <c r="O1055" s="1">
        <f t="shared" si="85"/>
        <v>454</v>
      </c>
      <c r="Q1055" s="12">
        <f t="shared" si="81"/>
        <v>3.3091821556777319E-3</v>
      </c>
      <c r="S1055" s="13">
        <f t="shared" si="82"/>
        <v>1.5023686986776903</v>
      </c>
      <c r="U1055" s="13">
        <f t="shared" si="83"/>
        <v>1.4891319700549794</v>
      </c>
      <c r="V1055" s="12"/>
      <c r="W1055" s="13">
        <f t="shared" si="84"/>
        <v>1.2465881557548566E-2</v>
      </c>
    </row>
    <row r="1056" spans="15:23" x14ac:dyDescent="0.25">
      <c r="O1056" s="1">
        <f t="shared" si="85"/>
        <v>453</v>
      </c>
      <c r="Q1056" s="12">
        <f t="shared" si="81"/>
        <v>3.2970535846017315E-3</v>
      </c>
      <c r="S1056" s="13">
        <f t="shared" si="82"/>
        <v>1.4935652738245844</v>
      </c>
      <c r="U1056" s="13">
        <f t="shared" si="83"/>
        <v>1.4836741130707791</v>
      </c>
      <c r="V1056" s="12"/>
      <c r="W1056" s="13">
        <f t="shared" si="84"/>
        <v>9.3151443939142268E-3</v>
      </c>
    </row>
    <row r="1057" spans="15:23" x14ac:dyDescent="0.25">
      <c r="O1057" s="1">
        <f t="shared" si="85"/>
        <v>452</v>
      </c>
      <c r="Q1057" s="12">
        <f t="shared" si="81"/>
        <v>3.2846210021110819E-3</v>
      </c>
      <c r="S1057" s="13">
        <f t="shared" si="82"/>
        <v>1.4846486929542091</v>
      </c>
      <c r="U1057" s="13">
        <f t="shared" si="83"/>
        <v>1.4780794509499868</v>
      </c>
      <c r="V1057" s="12"/>
      <c r="W1057" s="13">
        <f t="shared" si="84"/>
        <v>6.1866791321084358E-3</v>
      </c>
    </row>
    <row r="1058" spans="15:23" x14ac:dyDescent="0.25">
      <c r="O1058" s="1">
        <f t="shared" si="85"/>
        <v>451</v>
      </c>
      <c r="Q1058" s="12">
        <f t="shared" si="81"/>
        <v>3.2718859389970901E-3</v>
      </c>
      <c r="S1058" s="13">
        <f t="shared" si="82"/>
        <v>1.4756205584876876</v>
      </c>
      <c r="U1058" s="13">
        <f t="shared" si="83"/>
        <v>1.4723486725486905</v>
      </c>
      <c r="V1058" s="12"/>
      <c r="W1058" s="13">
        <f t="shared" si="84"/>
        <v>3.0813461352804435E-3</v>
      </c>
    </row>
    <row r="1059" spans="15:23" x14ac:dyDescent="0.25">
      <c r="O1059" s="1">
        <f t="shared" si="85"/>
        <v>450</v>
      </c>
      <c r="Q1059" s="12">
        <f t="shared" si="81"/>
        <v>3.2588500247250685E-3</v>
      </c>
      <c r="S1059" s="13">
        <f t="shared" si="82"/>
        <v>0</v>
      </c>
      <c r="U1059" s="13">
        <f t="shared" si="83"/>
        <v>0</v>
      </c>
      <c r="V1059" s="12"/>
      <c r="W1059" s="13">
        <f t="shared" si="84"/>
        <v>0</v>
      </c>
    </row>
    <row r="1060" spans="15:23" x14ac:dyDescent="0.25">
      <c r="O1060" s="1">
        <f t="shared" si="85"/>
        <v>449</v>
      </c>
      <c r="Q1060" s="12">
        <f t="shared" si="81"/>
        <v>3.2455149877068353E-3</v>
      </c>
      <c r="S1060" s="13">
        <f t="shared" si="82"/>
        <v>0</v>
      </c>
      <c r="U1060" s="13">
        <f t="shared" si="83"/>
        <v>0</v>
      </c>
      <c r="V1060" s="12"/>
      <c r="W1060" s="13">
        <f t="shared" si="84"/>
        <v>0</v>
      </c>
    </row>
    <row r="1061" spans="15:23" x14ac:dyDescent="0.25">
      <c r="O1061" s="1">
        <f t="shared" si="85"/>
        <v>448</v>
      </c>
      <c r="Q1061" s="12">
        <f t="shared" si="81"/>
        <v>3.2318826555255732E-3</v>
      </c>
      <c r="S1061" s="13">
        <f t="shared" si="82"/>
        <v>0</v>
      </c>
      <c r="U1061" s="13">
        <f t="shared" si="83"/>
        <v>0</v>
      </c>
      <c r="V1061" s="12"/>
      <c r="W1061" s="13">
        <f t="shared" si="84"/>
        <v>0</v>
      </c>
    </row>
    <row r="1062" spans="15:23" x14ac:dyDescent="0.25">
      <c r="O1062" s="1">
        <f t="shared" si="85"/>
        <v>447</v>
      </c>
      <c r="Q1062" s="12">
        <f t="shared" si="81"/>
        <v>3.2179549551122457E-3</v>
      </c>
      <c r="S1062" s="13">
        <f t="shared" si="82"/>
        <v>0</v>
      </c>
      <c r="U1062" s="13">
        <f t="shared" si="83"/>
        <v>0</v>
      </c>
      <c r="V1062" s="12"/>
      <c r="W1062" s="13">
        <f t="shared" si="84"/>
        <v>0</v>
      </c>
    </row>
    <row r="1063" spans="15:23" x14ac:dyDescent="0.25">
      <c r="O1063" s="1">
        <f t="shared" si="85"/>
        <v>446</v>
      </c>
      <c r="Q1063" s="12">
        <f t="shared" si="81"/>
        <v>3.2037339128725487E-3</v>
      </c>
      <c r="S1063" s="13">
        <f t="shared" si="82"/>
        <v>0</v>
      </c>
      <c r="U1063" s="13">
        <f t="shared" si="83"/>
        <v>0</v>
      </c>
      <c r="V1063" s="12"/>
      <c r="W1063" s="13">
        <f t="shared" si="84"/>
        <v>0</v>
      </c>
    </row>
    <row r="1064" spans="15:23" x14ac:dyDescent="0.25">
      <c r="O1064" s="1">
        <f t="shared" si="85"/>
        <v>445</v>
      </c>
      <c r="Q1064" s="12">
        <f t="shared" si="81"/>
        <v>3.1892216547636798E-3</v>
      </c>
      <c r="S1064" s="13">
        <f t="shared" si="82"/>
        <v>0</v>
      </c>
      <c r="U1064" s="13">
        <f t="shared" si="83"/>
        <v>0</v>
      </c>
      <c r="V1064" s="12"/>
      <c r="W1064" s="13">
        <f t="shared" si="84"/>
        <v>0</v>
      </c>
    </row>
    <row r="1065" spans="15:23" x14ac:dyDescent="0.25">
      <c r="O1065" s="1">
        <f t="shared" si="85"/>
        <v>444</v>
      </c>
      <c r="Q1065" s="12">
        <f t="shared" si="81"/>
        <v>3.1744204063199367E-3</v>
      </c>
      <c r="S1065" s="13">
        <f t="shared" si="82"/>
        <v>0</v>
      </c>
      <c r="U1065" s="13">
        <f t="shared" si="83"/>
        <v>0</v>
      </c>
      <c r="V1065" s="12"/>
      <c r="W1065" s="13">
        <f t="shared" si="84"/>
        <v>0</v>
      </c>
    </row>
    <row r="1066" spans="15:23" x14ac:dyDescent="0.25">
      <c r="O1066" s="1">
        <f t="shared" si="85"/>
        <v>443</v>
      </c>
      <c r="Q1066" s="12">
        <f t="shared" si="81"/>
        <v>3.1593324926264027E-3</v>
      </c>
      <c r="S1066" s="13">
        <f t="shared" si="82"/>
        <v>0</v>
      </c>
      <c r="U1066" s="13">
        <f t="shared" si="83"/>
        <v>0</v>
      </c>
      <c r="V1066" s="12"/>
      <c r="W1066" s="13">
        <f t="shared" si="84"/>
        <v>0</v>
      </c>
    </row>
    <row r="1067" spans="15:23" x14ac:dyDescent="0.25">
      <c r="O1067" s="1">
        <f t="shared" si="85"/>
        <v>442</v>
      </c>
      <c r="Q1067" s="12">
        <f t="shared" si="81"/>
        <v>3.1439603382398874E-3</v>
      </c>
      <c r="S1067" s="13">
        <f t="shared" si="82"/>
        <v>0</v>
      </c>
      <c r="U1067" s="13">
        <f t="shared" si="83"/>
        <v>0</v>
      </c>
      <c r="V1067" s="12"/>
      <c r="W1067" s="13">
        <f t="shared" si="84"/>
        <v>0</v>
      </c>
    </row>
    <row r="1068" spans="15:23" x14ac:dyDescent="0.25">
      <c r="O1068" s="1">
        <f t="shared" si="85"/>
        <v>441</v>
      </c>
      <c r="Q1068" s="12">
        <f t="shared" si="81"/>
        <v>3.1283064670563332E-3</v>
      </c>
      <c r="S1068" s="13">
        <f t="shared" si="82"/>
        <v>0</v>
      </c>
      <c r="U1068" s="13">
        <f t="shared" si="83"/>
        <v>0</v>
      </c>
      <c r="V1068" s="12"/>
      <c r="W1068" s="13">
        <f t="shared" si="84"/>
        <v>0</v>
      </c>
    </row>
    <row r="1069" spans="15:23" x14ac:dyDescent="0.25">
      <c r="O1069" s="1">
        <f t="shared" si="85"/>
        <v>440</v>
      </c>
      <c r="Q1069" s="12">
        <f t="shared" si="81"/>
        <v>3.1123735021239846E-3</v>
      </c>
      <c r="S1069" s="13">
        <f t="shared" si="82"/>
        <v>0</v>
      </c>
      <c r="U1069" s="13">
        <f t="shared" si="83"/>
        <v>0</v>
      </c>
      <c r="V1069" s="12"/>
      <c r="W1069" s="13">
        <f t="shared" si="84"/>
        <v>0</v>
      </c>
    </row>
    <row r="1070" spans="15:23" x14ac:dyDescent="0.25">
      <c r="O1070" s="1">
        <f t="shared" si="85"/>
        <v>439</v>
      </c>
      <c r="Q1070" s="12">
        <f t="shared" si="81"/>
        <v>3.0961641654015317E-3</v>
      </c>
      <c r="S1070" s="13">
        <f t="shared" si="82"/>
        <v>0</v>
      </c>
      <c r="U1070" s="13">
        <f t="shared" si="83"/>
        <v>0</v>
      </c>
      <c r="V1070" s="12"/>
      <c r="W1070" s="13">
        <f t="shared" si="84"/>
        <v>0</v>
      </c>
    </row>
    <row r="1071" spans="15:23" x14ac:dyDescent="0.25">
      <c r="O1071" s="1">
        <f t="shared" si="85"/>
        <v>438</v>
      </c>
      <c r="Q1071" s="12">
        <f t="shared" si="81"/>
        <v>3.0796812774605848E-3</v>
      </c>
      <c r="S1071" s="13">
        <f t="shared" si="82"/>
        <v>0</v>
      </c>
      <c r="U1071" s="13">
        <f t="shared" si="83"/>
        <v>0</v>
      </c>
      <c r="V1071" s="12"/>
      <c r="W1071" s="13">
        <f t="shared" si="84"/>
        <v>0</v>
      </c>
    </row>
    <row r="1072" spans="15:23" x14ac:dyDescent="0.25">
      <c r="O1072" s="1">
        <f t="shared" si="85"/>
        <v>437</v>
      </c>
      <c r="Q1072" s="12">
        <f t="shared" si="81"/>
        <v>3.0629277571317852E-3</v>
      </c>
      <c r="S1072" s="13">
        <f t="shared" si="82"/>
        <v>0</v>
      </c>
      <c r="U1072" s="13">
        <f t="shared" si="83"/>
        <v>0</v>
      </c>
      <c r="V1072" s="12"/>
      <c r="W1072" s="13">
        <f t="shared" si="84"/>
        <v>0</v>
      </c>
    </row>
    <row r="1073" spans="15:23" x14ac:dyDescent="0.25">
      <c r="O1073" s="1">
        <f t="shared" si="85"/>
        <v>436</v>
      </c>
      <c r="Q1073" s="12">
        <f t="shared" si="81"/>
        <v>3.0459066210939533E-3</v>
      </c>
      <c r="S1073" s="13">
        <f t="shared" si="82"/>
        <v>0</v>
      </c>
      <c r="U1073" s="13">
        <f t="shared" si="83"/>
        <v>0</v>
      </c>
      <c r="V1073" s="12"/>
      <c r="W1073" s="13">
        <f t="shared" si="84"/>
        <v>0</v>
      </c>
    </row>
    <row r="1074" spans="15:23" x14ac:dyDescent="0.25">
      <c r="O1074" s="1">
        <f t="shared" si="85"/>
        <v>435</v>
      </c>
      <c r="Q1074" s="12">
        <f t="shared" si="81"/>
        <v>3.0286209834056175E-3</v>
      </c>
      <c r="S1074" s="13">
        <f t="shared" si="82"/>
        <v>0</v>
      </c>
      <c r="U1074" s="13">
        <f t="shared" si="83"/>
        <v>0</v>
      </c>
      <c r="V1074" s="12"/>
      <c r="W1074" s="13">
        <f t="shared" si="84"/>
        <v>0</v>
      </c>
    </row>
    <row r="1075" spans="15:23" x14ac:dyDescent="0.25">
      <c r="O1075" s="1">
        <f t="shared" si="85"/>
        <v>434</v>
      </c>
      <c r="Q1075" s="12">
        <f t="shared" si="81"/>
        <v>3.0110740549784409E-3</v>
      </c>
      <c r="S1075" s="13">
        <f t="shared" si="82"/>
        <v>0</v>
      </c>
      <c r="U1075" s="13">
        <f t="shared" si="83"/>
        <v>0</v>
      </c>
      <c r="V1075" s="12"/>
      <c r="W1075" s="13">
        <f t="shared" si="84"/>
        <v>0</v>
      </c>
    </row>
    <row r="1076" spans="15:23" x14ac:dyDescent="0.25">
      <c r="O1076" s="1">
        <f t="shared" si="85"/>
        <v>433</v>
      </c>
      <c r="Q1076" s="12">
        <f t="shared" si="81"/>
        <v>2.9932691429919115E-3</v>
      </c>
      <c r="S1076" s="13">
        <f t="shared" si="82"/>
        <v>0</v>
      </c>
      <c r="U1076" s="13">
        <f t="shared" si="83"/>
        <v>0</v>
      </c>
      <c r="V1076" s="12"/>
      <c r="W1076" s="13">
        <f t="shared" si="84"/>
        <v>0</v>
      </c>
    </row>
    <row r="1077" spans="15:23" x14ac:dyDescent="0.25">
      <c r="O1077" s="1">
        <f t="shared" si="85"/>
        <v>432</v>
      </c>
      <c r="Q1077" s="12">
        <f t="shared" si="81"/>
        <v>2.9752096502489436E-3</v>
      </c>
      <c r="S1077" s="13">
        <f t="shared" si="82"/>
        <v>0</v>
      </c>
      <c r="U1077" s="13">
        <f t="shared" si="83"/>
        <v>0</v>
      </c>
      <c r="V1077" s="12"/>
      <c r="W1077" s="13">
        <f t="shared" si="84"/>
        <v>0</v>
      </c>
    </row>
    <row r="1078" spans="15:23" x14ac:dyDescent="0.25">
      <c r="O1078" s="1">
        <f t="shared" si="85"/>
        <v>431</v>
      </c>
      <c r="Q1078" s="12">
        <f t="shared" si="81"/>
        <v>2.9568990744717328E-3</v>
      </c>
      <c r="S1078" s="13">
        <f t="shared" si="82"/>
        <v>0</v>
      </c>
      <c r="U1078" s="13">
        <f t="shared" si="83"/>
        <v>0</v>
      </c>
      <c r="V1078" s="12"/>
      <c r="W1078" s="13">
        <f t="shared" si="84"/>
        <v>0</v>
      </c>
    </row>
    <row r="1079" spans="15:23" x14ac:dyDescent="0.25">
      <c r="O1079" s="1">
        <f t="shared" si="85"/>
        <v>430</v>
      </c>
      <c r="Q1079" s="12">
        <f t="shared" si="81"/>
        <v>2.9383410075377002E-3</v>
      </c>
      <c r="S1079" s="13">
        <f t="shared" si="82"/>
        <v>0</v>
      </c>
      <c r="U1079" s="13">
        <f t="shared" si="83"/>
        <v>0</v>
      </c>
      <c r="V1079" s="12"/>
      <c r="W1079" s="13">
        <f t="shared" si="84"/>
        <v>0</v>
      </c>
    </row>
    <row r="1080" spans="15:23" x14ac:dyDescent="0.25">
      <c r="O1080" s="1">
        <f t="shared" si="85"/>
        <v>429</v>
      </c>
      <c r="Q1080" s="12">
        <f t="shared" si="81"/>
        <v>2.9195391346549305E-3</v>
      </c>
      <c r="S1080" s="13">
        <f t="shared" si="82"/>
        <v>0</v>
      </c>
      <c r="U1080" s="13">
        <f t="shared" si="83"/>
        <v>0</v>
      </c>
      <c r="V1080" s="12"/>
      <c r="W1080" s="13">
        <f t="shared" si="84"/>
        <v>0</v>
      </c>
    </row>
    <row r="1081" spans="15:23" x14ac:dyDescent="0.25">
      <c r="O1081" s="1">
        <f t="shared" si="85"/>
        <v>428</v>
      </c>
      <c r="Q1081" s="12">
        <f t="shared" si="81"/>
        <v>2.9004972334768669E-3</v>
      </c>
      <c r="S1081" s="13">
        <f t="shared" si="82"/>
        <v>0</v>
      </c>
      <c r="U1081" s="13">
        <f t="shared" si="83"/>
        <v>0</v>
      </c>
      <c r="V1081" s="12"/>
      <c r="W1081" s="13">
        <f t="shared" si="84"/>
        <v>0</v>
      </c>
    </row>
    <row r="1082" spans="15:23" x14ac:dyDescent="0.25">
      <c r="O1082" s="1">
        <f t="shared" si="85"/>
        <v>427</v>
      </c>
      <c r="Q1082" s="12">
        <f t="shared" si="81"/>
        <v>2.8812191731560038E-3</v>
      </c>
      <c r="S1082" s="13">
        <f t="shared" si="82"/>
        <v>0</v>
      </c>
      <c r="U1082" s="13">
        <f t="shared" si="83"/>
        <v>0</v>
      </c>
      <c r="V1082" s="12"/>
      <c r="W1082" s="13">
        <f t="shared" si="84"/>
        <v>0</v>
      </c>
    </row>
    <row r="1083" spans="15:23" x14ac:dyDescent="0.25">
      <c r="O1083" s="1">
        <f t="shared" si="85"/>
        <v>426</v>
      </c>
      <c r="Q1083" s="12">
        <f t="shared" si="81"/>
        <v>2.8617089133362453E-3</v>
      </c>
      <c r="S1083" s="13">
        <f t="shared" si="82"/>
        <v>0</v>
      </c>
      <c r="U1083" s="13">
        <f t="shared" si="83"/>
        <v>0</v>
      </c>
      <c r="V1083" s="12"/>
      <c r="W1083" s="13">
        <f t="shared" si="84"/>
        <v>0</v>
      </c>
    </row>
    <row r="1084" spans="15:23" x14ac:dyDescent="0.25">
      <c r="O1084" s="1">
        <f t="shared" si="85"/>
        <v>425</v>
      </c>
      <c r="Q1084" s="12">
        <f t="shared" si="81"/>
        <v>2.841970503083816E-3</v>
      </c>
      <c r="S1084" s="13">
        <f t="shared" si="82"/>
        <v>0</v>
      </c>
      <c r="U1084" s="13">
        <f t="shared" si="83"/>
        <v>0</v>
      </c>
      <c r="V1084" s="12"/>
      <c r="W1084" s="13">
        <f t="shared" si="84"/>
        <v>0</v>
      </c>
    </row>
    <row r="1085" spans="15:23" x14ac:dyDescent="0.25">
      <c r="O1085" s="1">
        <f t="shared" si="85"/>
        <v>424</v>
      </c>
      <c r="Q1085" s="12">
        <f t="shared" si="81"/>
        <v>2.8220080797564783E-3</v>
      </c>
      <c r="S1085" s="13">
        <f t="shared" si="82"/>
        <v>0</v>
      </c>
      <c r="U1085" s="13">
        <f t="shared" si="83"/>
        <v>0</v>
      </c>
      <c r="V1085" s="12"/>
      <c r="W1085" s="13">
        <f t="shared" si="84"/>
        <v>0</v>
      </c>
    </row>
    <row r="1086" spans="15:23" x14ac:dyDescent="0.25">
      <c r="O1086" s="1">
        <f t="shared" si="85"/>
        <v>423</v>
      </c>
      <c r="Q1086" s="12">
        <f t="shared" si="81"/>
        <v>2.8018258678110539E-3</v>
      </c>
      <c r="S1086" s="13">
        <f t="shared" si="82"/>
        <v>0</v>
      </c>
      <c r="U1086" s="13">
        <f t="shared" si="83"/>
        <v>0</v>
      </c>
      <c r="V1086" s="12"/>
      <c r="W1086" s="13">
        <f t="shared" si="84"/>
        <v>0</v>
      </c>
    </row>
    <row r="1087" spans="15:23" x14ac:dyDescent="0.25">
      <c r="O1087" s="1">
        <f t="shared" si="85"/>
        <v>422</v>
      </c>
      <c r="Q1087" s="12">
        <f t="shared" si="81"/>
        <v>2.7814281775490803E-3</v>
      </c>
      <c r="S1087" s="13">
        <f t="shared" si="82"/>
        <v>0</v>
      </c>
      <c r="U1087" s="13">
        <f t="shared" si="83"/>
        <v>0</v>
      </c>
      <c r="V1087" s="12"/>
      <c r="W1087" s="13">
        <f t="shared" si="84"/>
        <v>0</v>
      </c>
    </row>
    <row r="1088" spans="15:23" x14ac:dyDescent="0.25">
      <c r="O1088" s="1">
        <f t="shared" si="85"/>
        <v>421</v>
      </c>
      <c r="Q1088" s="12">
        <f t="shared" si="81"/>
        <v>2.7608194038006842E-3</v>
      </c>
      <c r="S1088" s="13">
        <f t="shared" si="82"/>
        <v>0</v>
      </c>
      <c r="U1088" s="13">
        <f t="shared" si="83"/>
        <v>0</v>
      </c>
      <c r="V1088" s="12"/>
      <c r="W1088" s="13">
        <f t="shared" si="84"/>
        <v>0</v>
      </c>
    </row>
    <row r="1089" spans="15:23" x14ac:dyDescent="0.25">
      <c r="O1089" s="1">
        <f t="shared" si="85"/>
        <v>420</v>
      </c>
      <c r="Q1089" s="12">
        <f t="shared" si="81"/>
        <v>2.7400040245466836E-3</v>
      </c>
      <c r="S1089" s="13">
        <f t="shared" si="82"/>
        <v>0</v>
      </c>
      <c r="U1089" s="13">
        <f t="shared" si="83"/>
        <v>0</v>
      </c>
      <c r="V1089" s="12"/>
      <c r="W1089" s="13">
        <f t="shared" si="84"/>
        <v>0</v>
      </c>
    </row>
    <row r="1090" spans="15:23" x14ac:dyDescent="0.25">
      <c r="O1090" s="1">
        <f t="shared" si="85"/>
        <v>419</v>
      </c>
      <c r="Q1090" s="12">
        <f t="shared" si="81"/>
        <v>2.7189865994789804E-3</v>
      </c>
      <c r="S1090" s="13">
        <f t="shared" si="82"/>
        <v>0</v>
      </c>
      <c r="U1090" s="13">
        <f t="shared" si="83"/>
        <v>0</v>
      </c>
      <c r="V1090" s="12"/>
      <c r="W1090" s="13">
        <f t="shared" si="84"/>
        <v>0</v>
      </c>
    </row>
    <row r="1091" spans="15:23" x14ac:dyDescent="0.25">
      <c r="O1091" s="1">
        <f t="shared" si="85"/>
        <v>418</v>
      </c>
      <c r="Q1091" s="12">
        <f t="shared" si="81"/>
        <v>2.6977717684994614E-3</v>
      </c>
      <c r="S1091" s="13">
        <f t="shared" si="82"/>
        <v>0</v>
      </c>
      <c r="U1091" s="13">
        <f t="shared" si="83"/>
        <v>0</v>
      </c>
      <c r="V1091" s="12"/>
      <c r="W1091" s="13">
        <f t="shared" si="84"/>
        <v>0</v>
      </c>
    </row>
    <row r="1092" spans="15:23" x14ac:dyDescent="0.25">
      <c r="O1092" s="1">
        <f t="shared" si="85"/>
        <v>417</v>
      </c>
      <c r="Q1092" s="12">
        <f t="shared" si="81"/>
        <v>2.6763642501575259E-3</v>
      </c>
      <c r="S1092" s="13">
        <f t="shared" si="82"/>
        <v>0</v>
      </c>
      <c r="U1092" s="13">
        <f t="shared" si="83"/>
        <v>0</v>
      </c>
      <c r="V1092" s="12"/>
      <c r="W1092" s="13">
        <f t="shared" si="84"/>
        <v>0</v>
      </c>
    </row>
    <row r="1093" spans="15:23" x14ac:dyDescent="0.25">
      <c r="O1093" s="1">
        <f t="shared" si="85"/>
        <v>416</v>
      </c>
      <c r="Q1093" s="12">
        <f t="shared" si="81"/>
        <v>2.6547688400265874E-3</v>
      </c>
      <c r="S1093" s="13">
        <f t="shared" si="82"/>
        <v>0</v>
      </c>
      <c r="U1093" s="13">
        <f t="shared" si="83"/>
        <v>0</v>
      </c>
      <c r="V1093" s="12"/>
      <c r="W1093" s="13">
        <f t="shared" si="84"/>
        <v>0</v>
      </c>
    </row>
    <row r="1094" spans="15:23" x14ac:dyDescent="0.25">
      <c r="O1094" s="1">
        <f t="shared" si="85"/>
        <v>415</v>
      </c>
      <c r="Q1094" s="12">
        <f t="shared" si="81"/>
        <v>2.6329904090197872E-3</v>
      </c>
      <c r="S1094" s="13">
        <f t="shared" si="82"/>
        <v>0</v>
      </c>
      <c r="U1094" s="13">
        <f t="shared" si="83"/>
        <v>0</v>
      </c>
      <c r="V1094" s="12"/>
      <c r="W1094" s="13">
        <f t="shared" si="84"/>
        <v>0</v>
      </c>
    </row>
    <row r="1095" spans="15:23" x14ac:dyDescent="0.25">
      <c r="O1095" s="1">
        <f t="shared" si="85"/>
        <v>414</v>
      </c>
      <c r="Q1095" s="12">
        <f t="shared" si="81"/>
        <v>2.6110339016453448E-3</v>
      </c>
      <c r="S1095" s="13">
        <f t="shared" si="82"/>
        <v>0</v>
      </c>
      <c r="U1095" s="13">
        <f t="shared" si="83"/>
        <v>0</v>
      </c>
      <c r="V1095" s="12"/>
      <c r="W1095" s="13">
        <f t="shared" si="84"/>
        <v>0</v>
      </c>
    </row>
    <row r="1096" spans="15:23" x14ac:dyDescent="0.25">
      <c r="O1096" s="1">
        <f t="shared" si="85"/>
        <v>413</v>
      </c>
      <c r="Q1096" s="12">
        <f t="shared" si="81"/>
        <v>2.5889043342019018E-3</v>
      </c>
      <c r="S1096" s="13">
        <f t="shared" si="82"/>
        <v>0</v>
      </c>
      <c r="U1096" s="13">
        <f t="shared" si="83"/>
        <v>0</v>
      </c>
      <c r="V1096" s="12"/>
      <c r="W1096" s="13">
        <f t="shared" si="84"/>
        <v>0</v>
      </c>
    </row>
    <row r="1097" spans="15:23" x14ac:dyDescent="0.25">
      <c r="O1097" s="1">
        <f t="shared" si="85"/>
        <v>412</v>
      </c>
      <c r="Q1097" s="12">
        <f t="shared" si="81"/>
        <v>2.5666067929144506E-3</v>
      </c>
      <c r="S1097" s="13">
        <f t="shared" si="82"/>
        <v>0</v>
      </c>
      <c r="U1097" s="13">
        <f t="shared" si="83"/>
        <v>0</v>
      </c>
      <c r="V1097" s="12"/>
      <c r="W1097" s="13">
        <f t="shared" si="84"/>
        <v>0</v>
      </c>
    </row>
    <row r="1098" spans="15:23" x14ac:dyDescent="0.25">
      <c r="O1098" s="1">
        <f t="shared" si="85"/>
        <v>411</v>
      </c>
      <c r="Q1098" s="12">
        <f t="shared" ref="Q1098:Q1161" si="86">_xlfn.LOGNORM.DIST(O1098,$D$25,$D$26,FALSE)</f>
        <v>2.5441464320113006E-3</v>
      </c>
      <c r="S1098" s="13">
        <f t="shared" ref="S1098:S1161" si="87">IF(O1098&gt;$D$6,O1098*Q1098,0)</f>
        <v>0</v>
      </c>
      <c r="U1098" s="13">
        <f t="shared" ref="U1098:U1161" si="88">IF(O1098&gt;$D$6,$D$6*Q1098,0)</f>
        <v>0</v>
      </c>
      <c r="V1098" s="12"/>
      <c r="W1098" s="13">
        <f t="shared" ref="W1098:W1161" si="89">(S1098-U1098)*EXP(-$D$9*$D$7)</f>
        <v>0</v>
      </c>
    </row>
    <row r="1099" spans="15:23" x14ac:dyDescent="0.25">
      <c r="O1099" s="1">
        <f t="shared" ref="O1099:O1162" si="90">O1098-1</f>
        <v>410</v>
      </c>
      <c r="Q1099" s="12">
        <f t="shared" si="86"/>
        <v>2.5215284717427459E-3</v>
      </c>
      <c r="S1099" s="13">
        <f t="shared" si="87"/>
        <v>0</v>
      </c>
      <c r="U1099" s="13">
        <f t="shared" si="88"/>
        <v>0</v>
      </c>
      <c r="V1099" s="12"/>
      <c r="W1099" s="13">
        <f t="shared" si="89"/>
        <v>0</v>
      </c>
    </row>
    <row r="1100" spans="15:23" x14ac:dyDescent="0.25">
      <c r="O1100" s="1">
        <f t="shared" si="90"/>
        <v>409</v>
      </c>
      <c r="Q1100" s="12">
        <f t="shared" si="86"/>
        <v>2.4987581963420145E-3</v>
      </c>
      <c r="S1100" s="13">
        <f t="shared" si="87"/>
        <v>0</v>
      </c>
      <c r="U1100" s="13">
        <f t="shared" si="88"/>
        <v>0</v>
      </c>
      <c r="V1100" s="12"/>
      <c r="W1100" s="13">
        <f t="shared" si="89"/>
        <v>0</v>
      </c>
    </row>
    <row r="1101" spans="15:23" x14ac:dyDescent="0.25">
      <c r="O1101" s="1">
        <f t="shared" si="90"/>
        <v>408</v>
      </c>
      <c r="Q1101" s="12">
        <f t="shared" si="86"/>
        <v>2.4758409519293656E-3</v>
      </c>
      <c r="S1101" s="13">
        <f t="shared" si="87"/>
        <v>0</v>
      </c>
      <c r="U1101" s="13">
        <f t="shared" si="88"/>
        <v>0</v>
      </c>
      <c r="V1101" s="12"/>
      <c r="W1101" s="13">
        <f t="shared" si="89"/>
        <v>0</v>
      </c>
    </row>
    <row r="1102" spans="15:23" x14ac:dyDescent="0.25">
      <c r="O1102" s="1">
        <f t="shared" si="90"/>
        <v>407</v>
      </c>
      <c r="Q1102" s="12">
        <f t="shared" si="86"/>
        <v>2.4527821443600288E-3</v>
      </c>
      <c r="S1102" s="13">
        <f t="shared" si="87"/>
        <v>0</v>
      </c>
      <c r="U1102" s="13">
        <f t="shared" si="88"/>
        <v>0</v>
      </c>
      <c r="V1102" s="12"/>
      <c r="W1102" s="13">
        <f t="shared" si="89"/>
        <v>0</v>
      </c>
    </row>
    <row r="1103" spans="15:23" x14ac:dyDescent="0.25">
      <c r="O1103" s="1">
        <f t="shared" si="90"/>
        <v>406</v>
      </c>
      <c r="Q1103" s="12">
        <f t="shared" si="86"/>
        <v>2.4295872370167933E-3</v>
      </c>
      <c r="S1103" s="13">
        <f t="shared" si="87"/>
        <v>0</v>
      </c>
      <c r="U1103" s="13">
        <f t="shared" si="88"/>
        <v>0</v>
      </c>
      <c r="V1103" s="12"/>
      <c r="W1103" s="13">
        <f t="shared" si="89"/>
        <v>0</v>
      </c>
    </row>
    <row r="1104" spans="15:23" x14ac:dyDescent="0.25">
      <c r="O1104" s="1">
        <f t="shared" si="90"/>
        <v>405</v>
      </c>
      <c r="Q1104" s="12">
        <f t="shared" si="86"/>
        <v>2.4062617485482597E-3</v>
      </c>
      <c r="S1104" s="13">
        <f t="shared" si="87"/>
        <v>0</v>
      </c>
      <c r="U1104" s="13">
        <f t="shared" si="88"/>
        <v>0</v>
      </c>
      <c r="V1104" s="12"/>
      <c r="W1104" s="13">
        <f t="shared" si="89"/>
        <v>0</v>
      </c>
    </row>
    <row r="1105" spans="15:23" x14ac:dyDescent="0.25">
      <c r="O1105" s="1">
        <f t="shared" si="90"/>
        <v>404</v>
      </c>
      <c r="Q1105" s="12">
        <f t="shared" si="86"/>
        <v>2.3828112505537291E-3</v>
      </c>
      <c r="S1105" s="13">
        <f t="shared" si="87"/>
        <v>0</v>
      </c>
      <c r="U1105" s="13">
        <f t="shared" si="88"/>
        <v>0</v>
      </c>
      <c r="V1105" s="12"/>
      <c r="W1105" s="13">
        <f t="shared" si="89"/>
        <v>0</v>
      </c>
    </row>
    <row r="1106" spans="15:23" x14ac:dyDescent="0.25">
      <c r="O1106" s="1">
        <f t="shared" si="90"/>
        <v>403</v>
      </c>
      <c r="Q1106" s="12">
        <f t="shared" si="86"/>
        <v>2.3592413652156149E-3</v>
      </c>
      <c r="S1106" s="13">
        <f t="shared" si="87"/>
        <v>0</v>
      </c>
      <c r="U1106" s="13">
        <f t="shared" si="88"/>
        <v>0</v>
      </c>
      <c r="V1106" s="12"/>
      <c r="W1106" s="13">
        <f t="shared" si="89"/>
        <v>0</v>
      </c>
    </row>
    <row r="1107" spans="15:23" x14ac:dyDescent="0.25">
      <c r="O1107" s="1">
        <f t="shared" si="90"/>
        <v>402</v>
      </c>
      <c r="Q1107" s="12">
        <f t="shared" si="86"/>
        <v>2.3355577628807475E-3</v>
      </c>
      <c r="S1107" s="13">
        <f t="shared" si="87"/>
        <v>0</v>
      </c>
      <c r="U1107" s="13">
        <f t="shared" si="88"/>
        <v>0</v>
      </c>
      <c r="V1107" s="12"/>
      <c r="W1107" s="13">
        <f t="shared" si="89"/>
        <v>0</v>
      </c>
    </row>
    <row r="1108" spans="15:23" x14ac:dyDescent="0.25">
      <c r="O1108" s="1">
        <f t="shared" si="90"/>
        <v>401</v>
      </c>
      <c r="Q1108" s="12">
        <f t="shared" si="86"/>
        <v>2.3117661595913994E-3</v>
      </c>
      <c r="S1108" s="13">
        <f t="shared" si="87"/>
        <v>0</v>
      </c>
      <c r="U1108" s="13">
        <f t="shared" si="88"/>
        <v>0</v>
      </c>
      <c r="V1108" s="12"/>
      <c r="W1108" s="13">
        <f t="shared" si="89"/>
        <v>0</v>
      </c>
    </row>
    <row r="1109" spans="15:23" x14ac:dyDescent="0.25">
      <c r="O1109" s="1">
        <f t="shared" si="90"/>
        <v>400</v>
      </c>
      <c r="Q1109" s="12">
        <f t="shared" si="86"/>
        <v>2.2878723145675962E-3</v>
      </c>
      <c r="S1109" s="13">
        <f t="shared" si="87"/>
        <v>0</v>
      </c>
      <c r="U1109" s="13">
        <f t="shared" si="88"/>
        <v>0</v>
      </c>
      <c r="V1109" s="12"/>
      <c r="W1109" s="13">
        <f t="shared" si="89"/>
        <v>0</v>
      </c>
    </row>
    <row r="1110" spans="15:23" x14ac:dyDescent="0.25">
      <c r="O1110" s="1">
        <f t="shared" si="90"/>
        <v>399</v>
      </c>
      <c r="Q1110" s="12">
        <f t="shared" si="86"/>
        <v>2.2638820276417791E-3</v>
      </c>
      <c r="S1110" s="13">
        <f t="shared" si="87"/>
        <v>0</v>
      </c>
      <c r="U1110" s="13">
        <f t="shared" si="88"/>
        <v>0</v>
      </c>
      <c r="V1110" s="12"/>
      <c r="W1110" s="13">
        <f t="shared" si="89"/>
        <v>0</v>
      </c>
    </row>
    <row r="1111" spans="15:23" x14ac:dyDescent="0.25">
      <c r="O1111" s="1">
        <f t="shared" si="90"/>
        <v>398</v>
      </c>
      <c r="Q1111" s="12">
        <f t="shared" si="86"/>
        <v>2.2398011366472057E-3</v>
      </c>
      <c r="S1111" s="13">
        <f t="shared" si="87"/>
        <v>0</v>
      </c>
      <c r="U1111" s="13">
        <f t="shared" si="88"/>
        <v>0</v>
      </c>
      <c r="V1111" s="12"/>
      <c r="W1111" s="13">
        <f t="shared" si="89"/>
        <v>0</v>
      </c>
    </row>
    <row r="1112" spans="15:23" x14ac:dyDescent="0.25">
      <c r="O1112" s="1">
        <f t="shared" si="90"/>
        <v>397</v>
      </c>
      <c r="Q1112" s="12">
        <f t="shared" si="86"/>
        <v>2.2156355147616544E-3</v>
      </c>
      <c r="S1112" s="13">
        <f t="shared" si="87"/>
        <v>0</v>
      </c>
      <c r="U1112" s="13">
        <f t="shared" si="88"/>
        <v>0</v>
      </c>
      <c r="V1112" s="12"/>
      <c r="W1112" s="13">
        <f t="shared" si="89"/>
        <v>0</v>
      </c>
    </row>
    <row r="1113" spans="15:23" x14ac:dyDescent="0.25">
      <c r="O1113" s="1">
        <f t="shared" si="90"/>
        <v>396</v>
      </c>
      <c r="Q1113" s="12">
        <f t="shared" si="86"/>
        <v>2.19139106780769E-3</v>
      </c>
      <c r="S1113" s="13">
        <f t="shared" si="87"/>
        <v>0</v>
      </c>
      <c r="U1113" s="13">
        <f t="shared" si="88"/>
        <v>0</v>
      </c>
      <c r="V1113" s="12"/>
      <c r="W1113" s="13">
        <f t="shared" si="89"/>
        <v>0</v>
      </c>
    </row>
    <row r="1114" spans="15:23" x14ac:dyDescent="0.25">
      <c r="O1114" s="1">
        <f t="shared" si="90"/>
        <v>395</v>
      </c>
      <c r="Q1114" s="12">
        <f t="shared" si="86"/>
        <v>2.1670737315112334E-3</v>
      </c>
      <c r="S1114" s="13">
        <f t="shared" si="87"/>
        <v>0</v>
      </c>
      <c r="U1114" s="13">
        <f t="shared" si="88"/>
        <v>0</v>
      </c>
      <c r="V1114" s="12"/>
      <c r="W1114" s="13">
        <f t="shared" si="89"/>
        <v>0</v>
      </c>
    </row>
    <row r="1115" spans="15:23" x14ac:dyDescent="0.25">
      <c r="O1115" s="1">
        <f t="shared" si="90"/>
        <v>394</v>
      </c>
      <c r="Q1115" s="12">
        <f t="shared" si="86"/>
        <v>2.1426894687198955E-3</v>
      </c>
      <c r="S1115" s="13">
        <f t="shared" si="87"/>
        <v>0</v>
      </c>
      <c r="U1115" s="13">
        <f t="shared" si="88"/>
        <v>0</v>
      </c>
      <c r="V1115" s="12"/>
      <c r="W1115" s="13">
        <f t="shared" si="89"/>
        <v>0</v>
      </c>
    </row>
    <row r="1116" spans="15:23" x14ac:dyDescent="0.25">
      <c r="O1116" s="1">
        <f t="shared" si="90"/>
        <v>393</v>
      </c>
      <c r="Q1116" s="12">
        <f t="shared" si="86"/>
        <v>2.11824426658285E-3</v>
      </c>
      <c r="S1116" s="13">
        <f t="shared" si="87"/>
        <v>0</v>
      </c>
      <c r="U1116" s="13">
        <f t="shared" si="88"/>
        <v>0</v>
      </c>
      <c r="V1116" s="12"/>
      <c r="W1116" s="13">
        <f t="shared" si="89"/>
        <v>0</v>
      </c>
    </row>
    <row r="1117" spans="15:23" x14ac:dyDescent="0.25">
      <c r="O1117" s="1">
        <f t="shared" si="90"/>
        <v>392</v>
      </c>
      <c r="Q1117" s="12">
        <f t="shared" si="86"/>
        <v>2.0937441336938904E-3</v>
      </c>
      <c r="S1117" s="13">
        <f t="shared" si="87"/>
        <v>0</v>
      </c>
      <c r="U1117" s="13">
        <f t="shared" si="88"/>
        <v>0</v>
      </c>
      <c r="V1117" s="12"/>
      <c r="W1117" s="13">
        <f t="shared" si="89"/>
        <v>0</v>
      </c>
    </row>
    <row r="1118" spans="15:23" x14ac:dyDescent="0.25">
      <c r="O1118" s="1">
        <f t="shared" si="90"/>
        <v>391</v>
      </c>
      <c r="Q1118" s="12">
        <f t="shared" si="86"/>
        <v>2.0691950971995477E-3</v>
      </c>
      <c r="S1118" s="13">
        <f t="shared" si="87"/>
        <v>0</v>
      </c>
      <c r="U1118" s="13">
        <f t="shared" si="88"/>
        <v>0</v>
      </c>
      <c r="V1118" s="12"/>
      <c r="W1118" s="13">
        <f t="shared" si="89"/>
        <v>0</v>
      </c>
    </row>
    <row r="1119" spans="15:23" x14ac:dyDescent="0.25">
      <c r="O1119" s="1">
        <f t="shared" si="90"/>
        <v>390</v>
      </c>
      <c r="Q1119" s="12">
        <f t="shared" si="86"/>
        <v>2.0446031998739679E-3</v>
      </c>
      <c r="S1119" s="13">
        <f t="shared" si="87"/>
        <v>0</v>
      </c>
      <c r="U1119" s="13">
        <f t="shared" si="88"/>
        <v>0</v>
      </c>
      <c r="V1119" s="12"/>
      <c r="W1119" s="13">
        <f t="shared" si="89"/>
        <v>0</v>
      </c>
    </row>
    <row r="1120" spans="15:23" x14ac:dyDescent="0.25">
      <c r="O1120" s="1">
        <f t="shared" si="90"/>
        <v>389</v>
      </c>
      <c r="Q1120" s="12">
        <f t="shared" si="86"/>
        <v>2.0199744971626694E-3</v>
      </c>
      <c r="S1120" s="13">
        <f t="shared" si="87"/>
        <v>0</v>
      </c>
      <c r="U1120" s="13">
        <f t="shared" si="88"/>
        <v>0</v>
      </c>
      <c r="V1120" s="12"/>
      <c r="W1120" s="13">
        <f t="shared" si="89"/>
        <v>0</v>
      </c>
    </row>
    <row r="1121" spans="15:23" x14ac:dyDescent="0.25">
      <c r="O1121" s="1">
        <f t="shared" si="90"/>
        <v>388</v>
      </c>
      <c r="Q1121" s="12">
        <f t="shared" si="86"/>
        <v>1.9953150541969834E-3</v>
      </c>
      <c r="S1121" s="13">
        <f t="shared" si="87"/>
        <v>0</v>
      </c>
      <c r="U1121" s="13">
        <f t="shared" si="88"/>
        <v>0</v>
      </c>
      <c r="V1121" s="12"/>
      <c r="W1121" s="13">
        <f t="shared" si="89"/>
        <v>0</v>
      </c>
    </row>
    <row r="1122" spans="15:23" x14ac:dyDescent="0.25">
      <c r="O1122" s="1">
        <f t="shared" si="90"/>
        <v>387</v>
      </c>
      <c r="Q1122" s="12">
        <f t="shared" si="86"/>
        <v>1.9706309427811723E-3</v>
      </c>
      <c r="S1122" s="13">
        <f t="shared" si="87"/>
        <v>0</v>
      </c>
      <c r="U1122" s="13">
        <f t="shared" si="88"/>
        <v>0</v>
      </c>
      <c r="V1122" s="12"/>
      <c r="W1122" s="13">
        <f t="shared" si="89"/>
        <v>0</v>
      </c>
    </row>
    <row r="1123" spans="15:23" x14ac:dyDescent="0.25">
      <c r="O1123" s="1">
        <f t="shared" si="90"/>
        <v>386</v>
      </c>
      <c r="Q1123" s="12">
        <f t="shared" si="86"/>
        <v>1.9459282383545123E-3</v>
      </c>
      <c r="S1123" s="13">
        <f t="shared" si="87"/>
        <v>0</v>
      </c>
      <c r="U1123" s="13">
        <f t="shared" si="88"/>
        <v>0</v>
      </c>
      <c r="V1123" s="12"/>
      <c r="W1123" s="13">
        <f t="shared" si="89"/>
        <v>0</v>
      </c>
    </row>
    <row r="1124" spans="15:23" x14ac:dyDescent="0.25">
      <c r="O1124" s="1">
        <f t="shared" si="90"/>
        <v>385</v>
      </c>
      <c r="Q1124" s="12">
        <f t="shared" si="86"/>
        <v>1.9212130169302226E-3</v>
      </c>
      <c r="S1124" s="13">
        <f t="shared" si="87"/>
        <v>0</v>
      </c>
      <c r="U1124" s="13">
        <f t="shared" si="88"/>
        <v>0</v>
      </c>
      <c r="V1124" s="12"/>
      <c r="W1124" s="13">
        <f t="shared" si="89"/>
        <v>0</v>
      </c>
    </row>
    <row r="1125" spans="15:23" x14ac:dyDescent="0.25">
      <c r="O1125" s="1">
        <f t="shared" si="90"/>
        <v>384</v>
      </c>
      <c r="Q1125" s="12">
        <f t="shared" si="86"/>
        <v>1.8964913520135753E-3</v>
      </c>
      <c r="S1125" s="13">
        <f t="shared" si="87"/>
        <v>0</v>
      </c>
      <c r="U1125" s="13">
        <f t="shared" si="88"/>
        <v>0</v>
      </c>
      <c r="V1125" s="12"/>
      <c r="W1125" s="13">
        <f t="shared" si="89"/>
        <v>0</v>
      </c>
    </row>
    <row r="1126" spans="15:23" x14ac:dyDescent="0.25">
      <c r="O1126" s="1">
        <f t="shared" si="90"/>
        <v>383</v>
      </c>
      <c r="Q1126" s="12">
        <f t="shared" si="86"/>
        <v>1.8717693115014062E-3</v>
      </c>
      <c r="S1126" s="13">
        <f t="shared" si="87"/>
        <v>0</v>
      </c>
      <c r="U1126" s="13">
        <f t="shared" si="88"/>
        <v>0</v>
      </c>
      <c r="V1126" s="12"/>
      <c r="W1126" s="13">
        <f t="shared" si="89"/>
        <v>0</v>
      </c>
    </row>
    <row r="1127" spans="15:23" x14ac:dyDescent="0.25">
      <c r="O1127" s="1">
        <f t="shared" si="90"/>
        <v>382</v>
      </c>
      <c r="Q1127" s="12">
        <f t="shared" si="86"/>
        <v>1.8470529545652559E-3</v>
      </c>
      <c r="S1127" s="13">
        <f t="shared" si="87"/>
        <v>0</v>
      </c>
      <c r="U1127" s="13">
        <f t="shared" si="88"/>
        <v>0</v>
      </c>
      <c r="V1127" s="12"/>
      <c r="W1127" s="13">
        <f t="shared" si="89"/>
        <v>0</v>
      </c>
    </row>
    <row r="1128" spans="15:23" x14ac:dyDescent="0.25">
      <c r="O1128" s="1">
        <f t="shared" si="90"/>
        <v>381</v>
      </c>
      <c r="Q1128" s="12">
        <f t="shared" si="86"/>
        <v>1.8223483285204956E-3</v>
      </c>
      <c r="S1128" s="13">
        <f t="shared" si="87"/>
        <v>0</v>
      </c>
      <c r="U1128" s="13">
        <f t="shared" si="88"/>
        <v>0</v>
      </c>
      <c r="V1128" s="12"/>
      <c r="W1128" s="13">
        <f t="shared" si="89"/>
        <v>0</v>
      </c>
    </row>
    <row r="1129" spans="15:23" x14ac:dyDescent="0.25">
      <c r="O1129" s="1">
        <f t="shared" si="90"/>
        <v>380</v>
      </c>
      <c r="Q1129" s="12">
        <f t="shared" si="86"/>
        <v>1.7976614656838893E-3</v>
      </c>
      <c r="S1129" s="13">
        <f t="shared" si="87"/>
        <v>0</v>
      </c>
      <c r="U1129" s="13">
        <f t="shared" si="88"/>
        <v>0</v>
      </c>
      <c r="V1129" s="12"/>
      <c r="W1129" s="13">
        <f t="shared" si="89"/>
        <v>0</v>
      </c>
    </row>
    <row r="1130" spans="15:23" x14ac:dyDescent="0.25">
      <c r="O1130" s="1">
        <f t="shared" si="90"/>
        <v>379</v>
      </c>
      <c r="Q1130" s="12">
        <f t="shared" si="86"/>
        <v>1.7729983802219035E-3</v>
      </c>
      <c r="S1130" s="13">
        <f t="shared" si="87"/>
        <v>0</v>
      </c>
      <c r="U1130" s="13">
        <f t="shared" si="88"/>
        <v>0</v>
      </c>
      <c r="V1130" s="12"/>
      <c r="W1130" s="13">
        <f t="shared" si="89"/>
        <v>0</v>
      </c>
    </row>
    <row r="1131" spans="15:23" x14ac:dyDescent="0.25">
      <c r="O1131" s="1">
        <f t="shared" si="90"/>
        <v>378</v>
      </c>
      <c r="Q1131" s="12">
        <f t="shared" si="86"/>
        <v>1.7483650649923179E-3</v>
      </c>
      <c r="S1131" s="13">
        <f t="shared" si="87"/>
        <v>0</v>
      </c>
      <c r="U1131" s="13">
        <f t="shared" si="88"/>
        <v>0</v>
      </c>
      <c r="V1131" s="12"/>
      <c r="W1131" s="13">
        <f t="shared" si="89"/>
        <v>0</v>
      </c>
    </row>
    <row r="1132" spans="15:23" x14ac:dyDescent="0.25">
      <c r="O1132" s="1">
        <f t="shared" si="90"/>
        <v>377</v>
      </c>
      <c r="Q1132" s="12">
        <f t="shared" si="86"/>
        <v>1.723767488381594E-3</v>
      </c>
      <c r="S1132" s="13">
        <f t="shared" si="87"/>
        <v>0</v>
      </c>
      <c r="U1132" s="13">
        <f t="shared" si="88"/>
        <v>0</v>
      </c>
      <c r="V1132" s="12"/>
      <c r="W1132" s="13">
        <f t="shared" si="89"/>
        <v>0</v>
      </c>
    </row>
    <row r="1133" spans="15:23" x14ac:dyDescent="0.25">
      <c r="O1133" s="1">
        <f t="shared" si="90"/>
        <v>376</v>
      </c>
      <c r="Q1133" s="12">
        <f t="shared" si="86"/>
        <v>1.6992115911406073E-3</v>
      </c>
      <c r="S1133" s="13">
        <f t="shared" si="87"/>
        <v>0</v>
      </c>
      <c r="U1133" s="13">
        <f t="shared" si="88"/>
        <v>0</v>
      </c>
      <c r="V1133" s="12"/>
      <c r="W1133" s="13">
        <f t="shared" si="89"/>
        <v>0</v>
      </c>
    </row>
    <row r="1134" spans="15:23" x14ac:dyDescent="0.25">
      <c r="O1134" s="1">
        <f t="shared" si="90"/>
        <v>375</v>
      </c>
      <c r="Q1134" s="12">
        <f t="shared" si="86"/>
        <v>1.6747032832212373E-3</v>
      </c>
      <c r="S1134" s="13">
        <f t="shared" si="87"/>
        <v>0</v>
      </c>
      <c r="U1134" s="13">
        <f t="shared" si="88"/>
        <v>0</v>
      </c>
      <c r="V1134" s="12"/>
      <c r="W1134" s="13">
        <f t="shared" si="89"/>
        <v>0</v>
      </c>
    </row>
    <row r="1135" spans="15:23" x14ac:dyDescent="0.25">
      <c r="O1135" s="1">
        <f t="shared" si="90"/>
        <v>374</v>
      </c>
      <c r="Q1135" s="12">
        <f t="shared" si="86"/>
        <v>1.650248440616574E-3</v>
      </c>
      <c r="S1135" s="13">
        <f t="shared" si="87"/>
        <v>0</v>
      </c>
      <c r="U1135" s="13">
        <f t="shared" si="88"/>
        <v>0</v>
      </c>
      <c r="V1135" s="12"/>
      <c r="W1135" s="13">
        <f t="shared" si="89"/>
        <v>0</v>
      </c>
    </row>
    <row r="1136" spans="15:23" x14ac:dyDescent="0.25">
      <c r="O1136" s="1">
        <f t="shared" si="90"/>
        <v>373</v>
      </c>
      <c r="Q1136" s="12">
        <f t="shared" si="86"/>
        <v>1.6258529022071839E-3</v>
      </c>
      <c r="S1136" s="13">
        <f t="shared" si="87"/>
        <v>0</v>
      </c>
      <c r="U1136" s="13">
        <f t="shared" si="88"/>
        <v>0</v>
      </c>
      <c r="V1136" s="12"/>
      <c r="W1136" s="13">
        <f t="shared" si="89"/>
        <v>0</v>
      </c>
    </row>
    <row r="1137" spans="15:23" x14ac:dyDescent="0.25">
      <c r="O1137" s="1">
        <f t="shared" si="90"/>
        <v>372</v>
      </c>
      <c r="Q1137" s="12">
        <f t="shared" si="86"/>
        <v>1.6015224666163605E-3</v>
      </c>
      <c r="S1137" s="13">
        <f t="shared" si="87"/>
        <v>0</v>
      </c>
      <c r="U1137" s="13">
        <f t="shared" si="88"/>
        <v>0</v>
      </c>
      <c r="V1137" s="12"/>
      <c r="W1137" s="13">
        <f t="shared" si="89"/>
        <v>0</v>
      </c>
    </row>
    <row r="1138" spans="15:23" x14ac:dyDescent="0.25">
      <c r="O1138" s="1">
        <f t="shared" si="90"/>
        <v>371</v>
      </c>
      <c r="Q1138" s="12">
        <f t="shared" si="86"/>
        <v>1.5772628890768905E-3</v>
      </c>
      <c r="S1138" s="13">
        <f t="shared" si="87"/>
        <v>0</v>
      </c>
      <c r="U1138" s="13">
        <f t="shared" si="88"/>
        <v>0</v>
      </c>
      <c r="V1138" s="12"/>
      <c r="W1138" s="13">
        <f t="shared" si="89"/>
        <v>0</v>
      </c>
    </row>
    <row r="1139" spans="15:23" x14ac:dyDescent="0.25">
      <c r="O1139" s="1">
        <f t="shared" si="90"/>
        <v>370</v>
      </c>
      <c r="Q1139" s="12">
        <f t="shared" si="86"/>
        <v>1.5530798783120663E-3</v>
      </c>
      <c r="S1139" s="13">
        <f t="shared" si="87"/>
        <v>0</v>
      </c>
      <c r="U1139" s="13">
        <f t="shared" si="88"/>
        <v>0</v>
      </c>
      <c r="V1139" s="12"/>
      <c r="W1139" s="13">
        <f t="shared" si="89"/>
        <v>0</v>
      </c>
    </row>
    <row r="1140" spans="15:23" x14ac:dyDescent="0.25">
      <c r="O1140" s="1">
        <f t="shared" si="90"/>
        <v>369</v>
      </c>
      <c r="Q1140" s="12">
        <f t="shared" si="86"/>
        <v>1.5289790934338498E-3</v>
      </c>
      <c r="S1140" s="13">
        <f t="shared" si="87"/>
        <v>0</v>
      </c>
      <c r="U1140" s="13">
        <f t="shared" si="88"/>
        <v>0</v>
      </c>
      <c r="V1140" s="12"/>
      <c r="W1140" s="13">
        <f t="shared" si="89"/>
        <v>0</v>
      </c>
    </row>
    <row r="1141" spans="15:23" x14ac:dyDescent="0.25">
      <c r="O1141" s="1">
        <f t="shared" si="90"/>
        <v>368</v>
      </c>
      <c r="Q1141" s="12">
        <f t="shared" si="86"/>
        <v>1.5049661408607659E-3</v>
      </c>
      <c r="S1141" s="13">
        <f t="shared" si="87"/>
        <v>0</v>
      </c>
      <c r="U1141" s="13">
        <f t="shared" si="88"/>
        <v>0</v>
      </c>
      <c r="V1141" s="12"/>
      <c r="W1141" s="13">
        <f t="shared" si="89"/>
        <v>0</v>
      </c>
    </row>
    <row r="1142" spans="15:23" x14ac:dyDescent="0.25">
      <c r="O1142" s="1">
        <f t="shared" si="90"/>
        <v>367</v>
      </c>
      <c r="Q1142" s="12">
        <f t="shared" si="86"/>
        <v>1.4810465712584407E-3</v>
      </c>
      <c r="S1142" s="13">
        <f t="shared" si="87"/>
        <v>0</v>
      </c>
      <c r="U1142" s="13">
        <f t="shared" si="88"/>
        <v>0</v>
      </c>
      <c r="V1142" s="12"/>
      <c r="W1142" s="13">
        <f t="shared" si="89"/>
        <v>0</v>
      </c>
    </row>
    <row r="1143" spans="15:23" x14ac:dyDescent="0.25">
      <c r="O1143" s="1">
        <f t="shared" si="90"/>
        <v>366</v>
      </c>
      <c r="Q1143" s="12">
        <f t="shared" si="86"/>
        <v>1.4572258765055421E-3</v>
      </c>
      <c r="S1143" s="13">
        <f t="shared" si="87"/>
        <v>0</v>
      </c>
      <c r="U1143" s="13">
        <f t="shared" si="88"/>
        <v>0</v>
      </c>
      <c r="V1143" s="12"/>
      <c r="W1143" s="13">
        <f t="shared" si="89"/>
        <v>0</v>
      </c>
    </row>
    <row r="1144" spans="15:23" x14ac:dyDescent="0.25">
      <c r="O1144" s="1">
        <f t="shared" si="90"/>
        <v>365</v>
      </c>
      <c r="Q1144" s="12">
        <f t="shared" si="86"/>
        <v>1.4335094866879301E-3</v>
      </c>
      <c r="S1144" s="13">
        <f t="shared" si="87"/>
        <v>0</v>
      </c>
      <c r="U1144" s="13">
        <f t="shared" si="88"/>
        <v>0</v>
      </c>
      <c r="V1144" s="12"/>
      <c r="W1144" s="13">
        <f t="shared" si="89"/>
        <v>0</v>
      </c>
    </row>
    <row r="1145" spans="15:23" x14ac:dyDescent="0.25">
      <c r="O1145" s="1">
        <f t="shared" si="90"/>
        <v>364</v>
      </c>
      <c r="Q1145" s="12">
        <f t="shared" si="86"/>
        <v>1.4099027671237799E-3</v>
      </c>
      <c r="S1145" s="13">
        <f t="shared" si="87"/>
        <v>0</v>
      </c>
      <c r="U1145" s="13">
        <f t="shared" si="88"/>
        <v>0</v>
      </c>
      <c r="V1145" s="12"/>
      <c r="W1145" s="13">
        <f t="shared" si="89"/>
        <v>0</v>
      </c>
    </row>
    <row r="1146" spans="15:23" x14ac:dyDescent="0.25">
      <c r="O1146" s="1">
        <f t="shared" si="90"/>
        <v>363</v>
      </c>
      <c r="Q1146" s="12">
        <f t="shared" si="86"/>
        <v>1.3864110154226113E-3</v>
      </c>
      <c r="S1146" s="13">
        <f t="shared" si="87"/>
        <v>0</v>
      </c>
      <c r="U1146" s="13">
        <f t="shared" si="88"/>
        <v>0</v>
      </c>
      <c r="V1146" s="12"/>
      <c r="W1146" s="13">
        <f t="shared" si="89"/>
        <v>0</v>
      </c>
    </row>
    <row r="1147" spans="15:23" x14ac:dyDescent="0.25">
      <c r="O1147" s="1">
        <f t="shared" si="90"/>
        <v>362</v>
      </c>
      <c r="Q1147" s="12">
        <f t="shared" si="86"/>
        <v>1.3630394585809249E-3</v>
      </c>
      <c r="S1147" s="13">
        <f t="shared" si="87"/>
        <v>0</v>
      </c>
      <c r="U1147" s="13">
        <f t="shared" si="88"/>
        <v>0</v>
      </c>
      <c r="V1147" s="12"/>
      <c r="W1147" s="13">
        <f t="shared" si="89"/>
        <v>0</v>
      </c>
    </row>
    <row r="1148" spans="15:23" x14ac:dyDescent="0.25">
      <c r="O1148" s="1">
        <f t="shared" si="90"/>
        <v>361</v>
      </c>
      <c r="Q1148" s="12">
        <f t="shared" si="86"/>
        <v>1.3397932501172701E-3</v>
      </c>
      <c r="S1148" s="13">
        <f t="shared" si="87"/>
        <v>0</v>
      </c>
      <c r="U1148" s="13">
        <f t="shared" si="88"/>
        <v>0</v>
      </c>
      <c r="V1148" s="12"/>
      <c r="W1148" s="13">
        <f t="shared" si="89"/>
        <v>0</v>
      </c>
    </row>
    <row r="1149" spans="15:23" x14ac:dyDescent="0.25">
      <c r="O1149" s="1">
        <f t="shared" si="90"/>
        <v>360</v>
      </c>
      <c r="Q1149" s="12">
        <f t="shared" si="86"/>
        <v>1.3166774672496964E-3</v>
      </c>
      <c r="S1149" s="13">
        <f t="shared" si="87"/>
        <v>0</v>
      </c>
      <c r="U1149" s="13">
        <f t="shared" si="88"/>
        <v>0</v>
      </c>
      <c r="V1149" s="12"/>
      <c r="W1149" s="13">
        <f t="shared" si="89"/>
        <v>0</v>
      </c>
    </row>
    <row r="1150" spans="15:23" x14ac:dyDescent="0.25">
      <c r="O1150" s="1">
        <f t="shared" si="90"/>
        <v>359</v>
      </c>
      <c r="Q1150" s="12">
        <f t="shared" si="86"/>
        <v>1.2936971081180843E-3</v>
      </c>
      <c r="S1150" s="13">
        <f t="shared" si="87"/>
        <v>0</v>
      </c>
      <c r="U1150" s="13">
        <f t="shared" si="88"/>
        <v>0</v>
      </c>
      <c r="V1150" s="12"/>
      <c r="W1150" s="13">
        <f t="shared" si="89"/>
        <v>0</v>
      </c>
    </row>
    <row r="1151" spans="15:23" x14ac:dyDescent="0.25">
      <c r="O1151" s="1">
        <f t="shared" si="90"/>
        <v>358</v>
      </c>
      <c r="Q1151" s="12">
        <f t="shared" si="86"/>
        <v>1.27085708905448E-3</v>
      </c>
      <c r="S1151" s="13">
        <f t="shared" si="87"/>
        <v>0</v>
      </c>
      <c r="U1151" s="13">
        <f t="shared" si="88"/>
        <v>0</v>
      </c>
      <c r="V1151" s="12"/>
      <c r="W1151" s="13">
        <f t="shared" si="89"/>
        <v>0</v>
      </c>
    </row>
    <row r="1152" spans="15:23" x14ac:dyDescent="0.25">
      <c r="O1152" s="1">
        <f t="shared" si="90"/>
        <v>357</v>
      </c>
      <c r="Q1152" s="12">
        <f t="shared" si="86"/>
        <v>1.2481622419038927E-3</v>
      </c>
      <c r="S1152" s="13">
        <f t="shared" si="87"/>
        <v>0</v>
      </c>
      <c r="U1152" s="13">
        <f t="shared" si="88"/>
        <v>0</v>
      </c>
      <c r="V1152" s="12"/>
      <c r="W1152" s="13">
        <f t="shared" si="89"/>
        <v>0</v>
      </c>
    </row>
    <row r="1153" spans="15:23" x14ac:dyDescent="0.25">
      <c r="O1153" s="1">
        <f t="shared" si="90"/>
        <v>356</v>
      </c>
      <c r="Q1153" s="12">
        <f t="shared" si="86"/>
        <v>1.2256173113985205E-3</v>
      </c>
      <c r="S1153" s="13">
        <f t="shared" si="87"/>
        <v>0</v>
      </c>
      <c r="U1153" s="13">
        <f t="shared" si="88"/>
        <v>0</v>
      </c>
      <c r="V1153" s="12"/>
      <c r="W1153" s="13">
        <f t="shared" si="89"/>
        <v>0</v>
      </c>
    </row>
    <row r="1154" spans="15:23" x14ac:dyDescent="0.25">
      <c r="O1154" s="1">
        <f t="shared" si="90"/>
        <v>355</v>
      </c>
      <c r="Q1154" s="12">
        <f t="shared" si="86"/>
        <v>1.2032269525879429E-3</v>
      </c>
      <c r="S1154" s="13">
        <f t="shared" si="87"/>
        <v>0</v>
      </c>
      <c r="U1154" s="13">
        <f t="shared" si="88"/>
        <v>0</v>
      </c>
      <c r="V1154" s="12"/>
      <c r="W1154" s="13">
        <f t="shared" si="89"/>
        <v>0</v>
      </c>
    </row>
    <row r="1155" spans="15:23" x14ac:dyDescent="0.25">
      <c r="O1155" s="1">
        <f t="shared" si="90"/>
        <v>354</v>
      </c>
      <c r="Q1155" s="12">
        <f t="shared" si="86"/>
        <v>1.1809957283280882E-3</v>
      </c>
      <c r="S1155" s="13">
        <f t="shared" si="87"/>
        <v>0</v>
      </c>
      <c r="U1155" s="13">
        <f t="shared" si="88"/>
        <v>0</v>
      </c>
      <c r="V1155" s="12"/>
      <c r="W1155" s="13">
        <f t="shared" si="89"/>
        <v>0</v>
      </c>
    </row>
    <row r="1156" spans="15:23" x14ac:dyDescent="0.25">
      <c r="O1156" s="1">
        <f t="shared" si="90"/>
        <v>353</v>
      </c>
      <c r="Q1156" s="12">
        <f t="shared" si="86"/>
        <v>1.1589281068315603E-3</v>
      </c>
      <c r="S1156" s="13">
        <f t="shared" si="87"/>
        <v>0</v>
      </c>
      <c r="U1156" s="13">
        <f t="shared" si="88"/>
        <v>0</v>
      </c>
      <c r="V1156" s="12"/>
      <c r="W1156" s="13">
        <f t="shared" si="89"/>
        <v>0</v>
      </c>
    </row>
    <row r="1157" spans="15:23" x14ac:dyDescent="0.25">
      <c r="O1157" s="1">
        <f t="shared" si="90"/>
        <v>352</v>
      </c>
      <c r="Q1157" s="12">
        <f t="shared" si="86"/>
        <v>1.1370284592819428E-3</v>
      </c>
      <c r="S1157" s="13">
        <f t="shared" si="87"/>
        <v>0</v>
      </c>
      <c r="U1157" s="13">
        <f t="shared" si="88"/>
        <v>0</v>
      </c>
      <c r="V1157" s="12"/>
      <c r="W1157" s="13">
        <f t="shared" si="89"/>
        <v>0</v>
      </c>
    </row>
    <row r="1158" spans="15:23" x14ac:dyDescent="0.25">
      <c r="O1158" s="1">
        <f t="shared" si="90"/>
        <v>351</v>
      </c>
      <c r="Q1158" s="12">
        <f t="shared" si="86"/>
        <v>1.1153010575146701E-3</v>
      </c>
      <c r="S1158" s="13">
        <f t="shared" si="87"/>
        <v>0</v>
      </c>
      <c r="U1158" s="13">
        <f t="shared" si="88"/>
        <v>0</v>
      </c>
      <c r="V1158" s="12"/>
      <c r="W1158" s="13">
        <f t="shared" si="89"/>
        <v>0</v>
      </c>
    </row>
    <row r="1159" spans="15:23" x14ac:dyDescent="0.25">
      <c r="O1159" s="1">
        <f t="shared" si="90"/>
        <v>350</v>
      </c>
      <c r="Q1159" s="12">
        <f t="shared" si="86"/>
        <v>1.0937500717669824E-3</v>
      </c>
      <c r="S1159" s="13">
        <f t="shared" si="87"/>
        <v>0</v>
      </c>
      <c r="U1159" s="13">
        <f t="shared" si="88"/>
        <v>0</v>
      </c>
      <c r="V1159" s="12"/>
      <c r="W1159" s="13">
        <f t="shared" si="89"/>
        <v>0</v>
      </c>
    </row>
    <row r="1160" spans="15:23" x14ac:dyDescent="0.25">
      <c r="O1160" s="1">
        <f t="shared" si="90"/>
        <v>349</v>
      </c>
      <c r="Q1160" s="12">
        <f t="shared" si="86"/>
        <v>1.0723795684994379E-3</v>
      </c>
      <c r="S1160" s="13">
        <f t="shared" si="87"/>
        <v>0</v>
      </c>
      <c r="U1160" s="13">
        <f t="shared" si="88"/>
        <v>0</v>
      </c>
      <c r="V1160" s="12"/>
      <c r="W1160" s="13">
        <f t="shared" si="89"/>
        <v>0</v>
      </c>
    </row>
    <row r="1161" spans="15:23" x14ac:dyDescent="0.25">
      <c r="O1161" s="1">
        <f t="shared" si="90"/>
        <v>348</v>
      </c>
      <c r="Q1161" s="12">
        <f t="shared" si="86"/>
        <v>1.0511935082914163E-3</v>
      </c>
      <c r="S1161" s="13">
        <f t="shared" si="87"/>
        <v>0</v>
      </c>
      <c r="U1161" s="13">
        <f t="shared" si="88"/>
        <v>0</v>
      </c>
      <c r="V1161" s="12"/>
      <c r="W1161" s="13">
        <f t="shared" si="89"/>
        <v>0</v>
      </c>
    </row>
    <row r="1162" spans="15:23" x14ac:dyDescent="0.25">
      <c r="O1162" s="1">
        <f t="shared" si="90"/>
        <v>347</v>
      </c>
      <c r="Q1162" s="12">
        <f t="shared" ref="Q1162:Q1225" si="91">_xlfn.LOGNORM.DIST(O1162,$D$25,$D$26,FALSE)</f>
        <v>1.0301957438129806E-3</v>
      </c>
      <c r="S1162" s="13">
        <f t="shared" ref="S1162:S1225" si="92">IF(O1162&gt;$D$6,O1162*Q1162,0)</f>
        <v>0</v>
      </c>
      <c r="U1162" s="13">
        <f t="shared" ref="U1162:U1225" si="93">IF(O1162&gt;$D$6,$D$6*Q1162,0)</f>
        <v>0</v>
      </c>
      <c r="V1162" s="12"/>
      <c r="W1162" s="13">
        <f t="shared" ref="W1162:W1225" si="94">(S1162-U1162)*EXP(-$D$9*$D$7)</f>
        <v>0</v>
      </c>
    </row>
    <row r="1163" spans="15:23" x14ac:dyDescent="0.25">
      <c r="O1163" s="1">
        <f t="shared" ref="O1163:O1226" si="95">O1162-1</f>
        <v>346</v>
      </c>
      <c r="Q1163" s="12">
        <f t="shared" si="91"/>
        <v>1.0093900178754082E-3</v>
      </c>
      <c r="S1163" s="13">
        <f t="shared" si="92"/>
        <v>0</v>
      </c>
      <c r="U1163" s="13">
        <f t="shared" si="93"/>
        <v>0</v>
      </c>
      <c r="V1163" s="12"/>
      <c r="W1163" s="13">
        <f t="shared" si="94"/>
        <v>0</v>
      </c>
    </row>
    <row r="1164" spans="15:23" x14ac:dyDescent="0.25">
      <c r="O1164" s="1">
        <f t="shared" si="95"/>
        <v>345</v>
      </c>
      <c r="Q1164" s="12">
        <f t="shared" si="91"/>
        <v>9.8877996156260359E-4</v>
      </c>
      <c r="S1164" s="13">
        <f t="shared" si="92"/>
        <v>0</v>
      </c>
      <c r="U1164" s="13">
        <f t="shared" si="93"/>
        <v>0</v>
      </c>
      <c r="V1164" s="12"/>
      <c r="W1164" s="13">
        <f t="shared" si="94"/>
        <v>0</v>
      </c>
    </row>
    <row r="1165" spans="15:23" x14ac:dyDescent="0.25">
      <c r="O1165" s="1">
        <f t="shared" si="95"/>
        <v>344</v>
      </c>
      <c r="Q1165" s="12">
        <f t="shared" si="91"/>
        <v>9.683690924456507E-4</v>
      </c>
      <c r="S1165" s="13">
        <f t="shared" si="92"/>
        <v>0</v>
      </c>
      <c r="U1165" s="13">
        <f t="shared" si="93"/>
        <v>0</v>
      </c>
      <c r="V1165" s="12"/>
      <c r="W1165" s="13">
        <f t="shared" si="94"/>
        <v>0</v>
      </c>
    </row>
    <row r="1166" spans="15:23" x14ac:dyDescent="0.25">
      <c r="O1166" s="1">
        <f t="shared" si="95"/>
        <v>343</v>
      </c>
      <c r="Q1166" s="12">
        <f t="shared" si="91"/>
        <v>9.4816081288251323E-4</v>
      </c>
      <c r="S1166" s="13">
        <f t="shared" si="92"/>
        <v>0</v>
      </c>
      <c r="U1166" s="13">
        <f t="shared" si="93"/>
        <v>0</v>
      </c>
      <c r="V1166" s="12"/>
      <c r="W1166" s="13">
        <f t="shared" si="94"/>
        <v>0</v>
      </c>
    </row>
    <row r="1167" spans="15:23" x14ac:dyDescent="0.25">
      <c r="O1167" s="1">
        <f t="shared" si="95"/>
        <v>342</v>
      </c>
      <c r="Q1167" s="12">
        <f t="shared" si="91"/>
        <v>9.2815840840497119E-4</v>
      </c>
      <c r="S1167" s="13">
        <f t="shared" si="92"/>
        <v>0</v>
      </c>
      <c r="U1167" s="13">
        <f t="shared" si="93"/>
        <v>0</v>
      </c>
      <c r="V1167" s="12"/>
      <c r="W1167" s="13">
        <f t="shared" si="94"/>
        <v>0</v>
      </c>
    </row>
    <row r="1168" spans="15:23" x14ac:dyDescent="0.25">
      <c r="O1168" s="1">
        <f t="shared" si="95"/>
        <v>341</v>
      </c>
      <c r="Q1168" s="12">
        <f t="shared" si="91"/>
        <v>9.0836504619472747E-4</v>
      </c>
      <c r="S1168" s="13">
        <f t="shared" si="92"/>
        <v>0</v>
      </c>
      <c r="U1168" s="13">
        <f t="shared" si="93"/>
        <v>0</v>
      </c>
      <c r="V1168" s="12"/>
      <c r="W1168" s="13">
        <f t="shared" si="94"/>
        <v>0</v>
      </c>
    </row>
    <row r="1169" spans="15:23" x14ac:dyDescent="0.25">
      <c r="O1169" s="1">
        <f t="shared" si="95"/>
        <v>340</v>
      </c>
      <c r="Q1169" s="12">
        <f t="shared" si="91"/>
        <v>8.8878377365056015E-4</v>
      </c>
      <c r="S1169" s="13">
        <f t="shared" si="92"/>
        <v>0</v>
      </c>
      <c r="U1169" s="13">
        <f t="shared" si="93"/>
        <v>0</v>
      </c>
      <c r="V1169" s="12"/>
      <c r="W1169" s="13">
        <f t="shared" si="94"/>
        <v>0</v>
      </c>
    </row>
    <row r="1170" spans="15:23" x14ac:dyDescent="0.25">
      <c r="O1170" s="1">
        <f t="shared" si="95"/>
        <v>339</v>
      </c>
      <c r="Q1170" s="12">
        <f t="shared" si="91"/>
        <v>8.6941751704829669E-4</v>
      </c>
      <c r="S1170" s="13">
        <f t="shared" si="92"/>
        <v>0</v>
      </c>
      <c r="U1170" s="13">
        <f t="shared" si="93"/>
        <v>0</v>
      </c>
      <c r="V1170" s="12"/>
      <c r="W1170" s="13">
        <f t="shared" si="94"/>
        <v>0</v>
      </c>
    </row>
    <row r="1171" spans="15:23" x14ac:dyDescent="0.25">
      <c r="O1171" s="1">
        <f t="shared" si="95"/>
        <v>338</v>
      </c>
      <c r="Q1171" s="12">
        <f t="shared" si="91"/>
        <v>8.5026908029532428E-4</v>
      </c>
      <c r="S1171" s="13">
        <f t="shared" si="92"/>
        <v>0</v>
      </c>
      <c r="U1171" s="13">
        <f t="shared" si="93"/>
        <v>0</v>
      </c>
      <c r="V1171" s="12"/>
      <c r="W1171" s="13">
        <f t="shared" si="94"/>
        <v>0</v>
      </c>
    </row>
    <row r="1172" spans="15:23" x14ac:dyDescent="0.25">
      <c r="O1172" s="1">
        <f t="shared" si="95"/>
        <v>337</v>
      </c>
      <c r="Q1172" s="12">
        <f t="shared" si="91"/>
        <v>8.3134114378113845E-4</v>
      </c>
      <c r="S1172" s="13">
        <f t="shared" si="92"/>
        <v>0</v>
      </c>
      <c r="U1172" s="13">
        <f t="shared" si="93"/>
        <v>0</v>
      </c>
      <c r="V1172" s="12"/>
      <c r="W1172" s="13">
        <f t="shared" si="94"/>
        <v>0</v>
      </c>
    </row>
    <row r="1173" spans="15:23" x14ac:dyDescent="0.25">
      <c r="O1173" s="1">
        <f t="shared" si="95"/>
        <v>336</v>
      </c>
      <c r="Q1173" s="12">
        <f t="shared" si="91"/>
        <v>8.1263626332559629E-4</v>
      </c>
      <c r="S1173" s="13">
        <f t="shared" si="92"/>
        <v>0</v>
      </c>
      <c r="U1173" s="13">
        <f t="shared" si="93"/>
        <v>0</v>
      </c>
      <c r="V1173" s="12"/>
      <c r="W1173" s="13">
        <f t="shared" si="94"/>
        <v>0</v>
      </c>
    </row>
    <row r="1174" spans="15:23" x14ac:dyDescent="0.25">
      <c r="O1174" s="1">
        <f t="shared" si="95"/>
        <v>335</v>
      </c>
      <c r="Q1174" s="12">
        <f t="shared" si="91"/>
        <v>7.9415686922613201E-4</v>
      </c>
      <c r="S1174" s="13">
        <f t="shared" si="92"/>
        <v>0</v>
      </c>
      <c r="U1174" s="13">
        <f t="shared" si="93"/>
        <v>0</v>
      </c>
      <c r="V1174" s="12"/>
      <c r="W1174" s="13">
        <f t="shared" si="94"/>
        <v>0</v>
      </c>
    </row>
    <row r="1175" spans="15:23" x14ac:dyDescent="0.25">
      <c r="O1175" s="1">
        <f t="shared" si="95"/>
        <v>334</v>
      </c>
      <c r="Q1175" s="12">
        <f t="shared" si="91"/>
        <v>7.7590526540529986E-4</v>
      </c>
      <c r="S1175" s="13">
        <f t="shared" si="92"/>
        <v>0</v>
      </c>
      <c r="U1175" s="13">
        <f t="shared" si="93"/>
        <v>0</v>
      </c>
      <c r="V1175" s="12"/>
      <c r="W1175" s="13">
        <f t="shared" si="94"/>
        <v>0</v>
      </c>
    </row>
    <row r="1176" spans="15:23" x14ac:dyDescent="0.25">
      <c r="O1176" s="1">
        <f t="shared" si="95"/>
        <v>333</v>
      </c>
      <c r="Q1176" s="12">
        <f t="shared" si="91"/>
        <v>7.5788362865980596E-4</v>
      </c>
      <c r="S1176" s="13">
        <f t="shared" si="92"/>
        <v>0</v>
      </c>
      <c r="U1176" s="13">
        <f t="shared" si="93"/>
        <v>0</v>
      </c>
      <c r="V1176" s="12"/>
      <c r="W1176" s="13">
        <f t="shared" si="94"/>
        <v>0</v>
      </c>
    </row>
    <row r="1177" spans="15:23" x14ac:dyDescent="0.25">
      <c r="O1177" s="1">
        <f t="shared" si="95"/>
        <v>332</v>
      </c>
      <c r="Q1177" s="12">
        <f t="shared" si="91"/>
        <v>7.4009400801217443E-4</v>
      </c>
      <c r="S1177" s="13">
        <f t="shared" si="92"/>
        <v>0</v>
      </c>
      <c r="U1177" s="13">
        <f t="shared" si="93"/>
        <v>0</v>
      </c>
      <c r="V1177" s="12"/>
      <c r="W1177" s="13">
        <f t="shared" si="94"/>
        <v>0</v>
      </c>
    </row>
    <row r="1178" spans="15:23" x14ac:dyDescent="0.25">
      <c r="O1178" s="1">
        <f t="shared" si="95"/>
        <v>331</v>
      </c>
      <c r="Q1178" s="12">
        <f t="shared" si="91"/>
        <v>7.2253832416592717E-4</v>
      </c>
      <c r="S1178" s="13">
        <f t="shared" si="92"/>
        <v>0</v>
      </c>
      <c r="U1178" s="13">
        <f t="shared" si="93"/>
        <v>0</v>
      </c>
      <c r="V1178" s="12"/>
      <c r="W1178" s="13">
        <f t="shared" si="94"/>
        <v>0</v>
      </c>
    </row>
    <row r="1179" spans="15:23" x14ac:dyDescent="0.25">
      <c r="O1179" s="1">
        <f t="shared" si="95"/>
        <v>330</v>
      </c>
      <c r="Q1179" s="12">
        <f t="shared" si="91"/>
        <v>7.0521836906518105E-4</v>
      </c>
      <c r="S1179" s="13">
        <f t="shared" si="92"/>
        <v>0</v>
      </c>
      <c r="U1179" s="13">
        <f t="shared" si="93"/>
        <v>0</v>
      </c>
      <c r="V1179" s="12"/>
      <c r="W1179" s="13">
        <f t="shared" si="94"/>
        <v>0</v>
      </c>
    </row>
    <row r="1180" spans="15:23" x14ac:dyDescent="0.25">
      <c r="O1180" s="1">
        <f t="shared" si="95"/>
        <v>329</v>
      </c>
      <c r="Q1180" s="12">
        <f t="shared" si="91"/>
        <v>6.8813580555944802E-4</v>
      </c>
      <c r="S1180" s="13">
        <f t="shared" si="92"/>
        <v>0</v>
      </c>
      <c r="U1180" s="13">
        <f t="shared" si="93"/>
        <v>0</v>
      </c>
      <c r="V1180" s="12"/>
      <c r="W1180" s="13">
        <f t="shared" si="94"/>
        <v>0</v>
      </c>
    </row>
    <row r="1181" spans="15:23" x14ac:dyDescent="0.25">
      <c r="O1181" s="1">
        <f t="shared" si="95"/>
        <v>328</v>
      </c>
      <c r="Q1181" s="12">
        <f t="shared" si="91"/>
        <v>6.7129216717414408E-4</v>
      </c>
      <c r="S1181" s="13">
        <f t="shared" si="92"/>
        <v>0</v>
      </c>
      <c r="U1181" s="13">
        <f t="shared" si="93"/>
        <v>0</v>
      </c>
      <c r="V1181" s="12"/>
      <c r="W1181" s="13">
        <f t="shared" si="94"/>
        <v>0</v>
      </c>
    </row>
    <row r="1182" spans="15:23" x14ac:dyDescent="0.25">
      <c r="O1182" s="1">
        <f t="shared" si="95"/>
        <v>327</v>
      </c>
      <c r="Q1182" s="12">
        <f t="shared" si="91"/>
        <v>6.5468885798741631E-4</v>
      </c>
      <c r="S1182" s="13">
        <f t="shared" si="92"/>
        <v>0</v>
      </c>
      <c r="U1182" s="13">
        <f t="shared" si="93"/>
        <v>0</v>
      </c>
      <c r="V1182" s="12"/>
      <c r="W1182" s="13">
        <f t="shared" si="94"/>
        <v>0</v>
      </c>
    </row>
    <row r="1183" spans="15:23" x14ac:dyDescent="0.25">
      <c r="O1183" s="1">
        <f t="shared" si="95"/>
        <v>326</v>
      </c>
      <c r="Q1183" s="12">
        <f t="shared" si="91"/>
        <v>6.3832715261360746E-4</v>
      </c>
      <c r="S1183" s="13">
        <f t="shared" si="92"/>
        <v>0</v>
      </c>
      <c r="U1183" s="13">
        <f t="shared" si="93"/>
        <v>0</v>
      </c>
      <c r="V1183" s="12"/>
      <c r="W1183" s="13">
        <f t="shared" si="94"/>
        <v>0</v>
      </c>
    </row>
    <row r="1184" spans="15:23" x14ac:dyDescent="0.25">
      <c r="O1184" s="1">
        <f t="shared" si="95"/>
        <v>325</v>
      </c>
      <c r="Q1184" s="12">
        <f t="shared" si="91"/>
        <v>6.2220819629357955E-4</v>
      </c>
      <c r="S1184" s="13">
        <f t="shared" si="92"/>
        <v>0</v>
      </c>
      <c r="U1184" s="13">
        <f t="shared" si="93"/>
        <v>0</v>
      </c>
      <c r="V1184" s="12"/>
      <c r="W1184" s="13">
        <f t="shared" si="94"/>
        <v>0</v>
      </c>
    </row>
    <row r="1185" spans="15:23" x14ac:dyDescent="0.25">
      <c r="O1185" s="1">
        <f t="shared" si="95"/>
        <v>324</v>
      </c>
      <c r="Q1185" s="12">
        <f t="shared" si="91"/>
        <v>6.0633300509209279E-4</v>
      </c>
      <c r="S1185" s="13">
        <f t="shared" si="92"/>
        <v>0</v>
      </c>
      <c r="U1185" s="13">
        <f t="shared" si="93"/>
        <v>0</v>
      </c>
      <c r="V1185" s="12"/>
      <c r="W1185" s="13">
        <f t="shared" si="94"/>
        <v>0</v>
      </c>
    </row>
    <row r="1186" spans="15:23" x14ac:dyDescent="0.25">
      <c r="O1186" s="1">
        <f t="shared" si="95"/>
        <v>323</v>
      </c>
      <c r="Q1186" s="12">
        <f t="shared" si="91"/>
        <v>5.9070246620215449E-4</v>
      </c>
      <c r="S1186" s="13">
        <f t="shared" si="92"/>
        <v>0</v>
      </c>
      <c r="U1186" s="13">
        <f t="shared" si="93"/>
        <v>0</v>
      </c>
      <c r="V1186" s="12"/>
      <c r="W1186" s="13">
        <f t="shared" si="94"/>
        <v>0</v>
      </c>
    </row>
    <row r="1187" spans="15:23" x14ac:dyDescent="0.25">
      <c r="O1187" s="1">
        <f t="shared" si="95"/>
        <v>322</v>
      </c>
      <c r="Q1187" s="12">
        <f t="shared" si="91"/>
        <v>5.753173383562266E-4</v>
      </c>
      <c r="S1187" s="13">
        <f t="shared" si="92"/>
        <v>0</v>
      </c>
      <c r="U1187" s="13">
        <f t="shared" si="93"/>
        <v>0</v>
      </c>
      <c r="V1187" s="12"/>
      <c r="W1187" s="13">
        <f t="shared" si="94"/>
        <v>0</v>
      </c>
    </row>
    <row r="1188" spans="15:23" x14ac:dyDescent="0.25">
      <c r="O1188" s="1">
        <f t="shared" si="95"/>
        <v>321</v>
      </c>
      <c r="Q1188" s="12">
        <f t="shared" si="91"/>
        <v>5.6017825234403514E-4</v>
      </c>
      <c r="S1188" s="13">
        <f t="shared" si="92"/>
        <v>0</v>
      </c>
      <c r="U1188" s="13">
        <f t="shared" si="93"/>
        <v>0</v>
      </c>
      <c r="V1188" s="12"/>
      <c r="W1188" s="13">
        <f t="shared" si="94"/>
        <v>0</v>
      </c>
    </row>
    <row r="1189" spans="15:23" x14ac:dyDescent="0.25">
      <c r="O1189" s="1">
        <f t="shared" si="95"/>
        <v>320</v>
      </c>
      <c r="Q1189" s="12">
        <f t="shared" si="91"/>
        <v>5.4528571163655714E-4</v>
      </c>
      <c r="S1189" s="13">
        <f t="shared" si="92"/>
        <v>0</v>
      </c>
      <c r="U1189" s="13">
        <f t="shared" si="93"/>
        <v>0</v>
      </c>
      <c r="V1189" s="12"/>
      <c r="W1189" s="13">
        <f t="shared" si="94"/>
        <v>0</v>
      </c>
    </row>
    <row r="1190" spans="15:23" x14ac:dyDescent="0.25">
      <c r="O1190" s="1">
        <f t="shared" si="95"/>
        <v>319</v>
      </c>
      <c r="Q1190" s="12">
        <f t="shared" si="91"/>
        <v>5.3064009311562716E-4</v>
      </c>
      <c r="S1190" s="13">
        <f t="shared" si="92"/>
        <v>0</v>
      </c>
      <c r="U1190" s="13">
        <f t="shared" si="93"/>
        <v>0</v>
      </c>
      <c r="V1190" s="12"/>
      <c r="W1190" s="13">
        <f t="shared" si="94"/>
        <v>0</v>
      </c>
    </row>
    <row r="1191" spans="15:23" x14ac:dyDescent="0.25">
      <c r="O1191" s="1">
        <f t="shared" si="95"/>
        <v>318</v>
      </c>
      <c r="Q1191" s="12">
        <f t="shared" si="91"/>
        <v>5.1624164790852573E-4</v>
      </c>
      <c r="S1191" s="13">
        <f t="shared" si="92"/>
        <v>0</v>
      </c>
      <c r="U1191" s="13">
        <f t="shared" si="93"/>
        <v>0</v>
      </c>
      <c r="V1191" s="12"/>
      <c r="W1191" s="13">
        <f t="shared" si="94"/>
        <v>0</v>
      </c>
    </row>
    <row r="1192" spans="15:23" x14ac:dyDescent="0.25">
      <c r="O1192" s="1">
        <f t="shared" si="95"/>
        <v>317</v>
      </c>
      <c r="Q1192" s="12">
        <f t="shared" si="91"/>
        <v>5.0209050232671187E-4</v>
      </c>
      <c r="S1192" s="13">
        <f t="shared" si="92"/>
        <v>0</v>
      </c>
      <c r="U1192" s="13">
        <f t="shared" si="93"/>
        <v>0</v>
      </c>
      <c r="V1192" s="12"/>
      <c r="W1192" s="13">
        <f t="shared" si="94"/>
        <v>0</v>
      </c>
    </row>
    <row r="1193" spans="15:23" x14ac:dyDescent="0.25">
      <c r="O1193" s="1">
        <f t="shared" si="95"/>
        <v>316</v>
      </c>
      <c r="Q1193" s="12">
        <f t="shared" si="91"/>
        <v>4.8818665890778932E-4</v>
      </c>
      <c r="S1193" s="13">
        <f t="shared" si="92"/>
        <v>0</v>
      </c>
      <c r="U1193" s="13">
        <f t="shared" si="93"/>
        <v>0</v>
      </c>
      <c r="V1193" s="12"/>
      <c r="W1193" s="13">
        <f t="shared" si="94"/>
        <v>0</v>
      </c>
    </row>
    <row r="1194" spans="15:23" x14ac:dyDescent="0.25">
      <c r="O1194" s="1">
        <f t="shared" si="95"/>
        <v>315</v>
      </c>
      <c r="Q1194" s="12">
        <f t="shared" si="91"/>
        <v>4.7452999755955759E-4</v>
      </c>
      <c r="S1194" s="13">
        <f t="shared" si="92"/>
        <v>0</v>
      </c>
      <c r="U1194" s="13">
        <f t="shared" si="93"/>
        <v>0</v>
      </c>
      <c r="V1194" s="12"/>
      <c r="W1194" s="13">
        <f t="shared" si="94"/>
        <v>0</v>
      </c>
    </row>
    <row r="1195" spans="15:23" x14ac:dyDescent="0.25">
      <c r="O1195" s="1">
        <f t="shared" si="95"/>
        <v>314</v>
      </c>
      <c r="Q1195" s="12">
        <f t="shared" si="91"/>
        <v>4.6112027680503145E-4</v>
      </c>
      <c r="S1195" s="13">
        <f t="shared" si="92"/>
        <v>0</v>
      </c>
      <c r="U1195" s="13">
        <f t="shared" si="93"/>
        <v>0</v>
      </c>
      <c r="V1195" s="12"/>
      <c r="W1195" s="13">
        <f t="shared" si="94"/>
        <v>0</v>
      </c>
    </row>
    <row r="1196" spans="15:23" x14ac:dyDescent="0.25">
      <c r="O1196" s="1">
        <f t="shared" si="95"/>
        <v>313</v>
      </c>
      <c r="Q1196" s="12">
        <f t="shared" si="91"/>
        <v>4.4795713512699908E-4</v>
      </c>
      <c r="S1196" s="13">
        <f t="shared" si="92"/>
        <v>0</v>
      </c>
      <c r="U1196" s="13">
        <f t="shared" si="93"/>
        <v>0</v>
      </c>
      <c r="V1196" s="12"/>
      <c r="W1196" s="13">
        <f t="shared" si="94"/>
        <v>0</v>
      </c>
    </row>
    <row r="1197" spans="15:23" x14ac:dyDescent="0.25">
      <c r="O1197" s="1">
        <f t="shared" si="95"/>
        <v>312</v>
      </c>
      <c r="Q1197" s="12">
        <f t="shared" si="91"/>
        <v>4.3504009241066927E-4</v>
      </c>
      <c r="S1197" s="13">
        <f t="shared" si="92"/>
        <v>0</v>
      </c>
      <c r="U1197" s="13">
        <f t="shared" si="93"/>
        <v>0</v>
      </c>
      <c r="V1197" s="12"/>
      <c r="W1197" s="13">
        <f t="shared" si="94"/>
        <v>0</v>
      </c>
    </row>
    <row r="1198" spans="15:23" x14ac:dyDescent="0.25">
      <c r="O1198" s="1">
        <f t="shared" si="95"/>
        <v>311</v>
      </c>
      <c r="Q1198" s="12">
        <f t="shared" si="91"/>
        <v>4.2236855148279195E-4</v>
      </c>
      <c r="S1198" s="13">
        <f t="shared" si="92"/>
        <v>0</v>
      </c>
      <c r="U1198" s="13">
        <f t="shared" si="93"/>
        <v>0</v>
      </c>
      <c r="V1198" s="12"/>
      <c r="W1198" s="13">
        <f t="shared" si="94"/>
        <v>0</v>
      </c>
    </row>
    <row r="1199" spans="15:23" x14ac:dyDescent="0.25">
      <c r="O1199" s="1">
        <f t="shared" si="95"/>
        <v>310</v>
      </c>
      <c r="Q1199" s="12">
        <f t="shared" si="91"/>
        <v>4.099417997455296E-4</v>
      </c>
      <c r="S1199" s="13">
        <f t="shared" si="92"/>
        <v>0</v>
      </c>
      <c r="U1199" s="13">
        <f t="shared" si="93"/>
        <v>0</v>
      </c>
      <c r="V1199" s="12"/>
      <c r="W1199" s="13">
        <f t="shared" si="94"/>
        <v>0</v>
      </c>
    </row>
    <row r="1200" spans="15:23" x14ac:dyDescent="0.25">
      <c r="O1200" s="1">
        <f t="shared" si="95"/>
        <v>309</v>
      </c>
      <c r="Q1200" s="12">
        <f t="shared" si="91"/>
        <v>3.9775901090314262E-4</v>
      </c>
      <c r="S1200" s="13">
        <f t="shared" si="92"/>
        <v>0</v>
      </c>
      <c r="U1200" s="13">
        <f t="shared" si="93"/>
        <v>0</v>
      </c>
      <c r="V1200" s="12"/>
      <c r="W1200" s="13">
        <f t="shared" si="94"/>
        <v>0</v>
      </c>
    </row>
    <row r="1201" spans="15:23" x14ac:dyDescent="0.25">
      <c r="O1201" s="1">
        <f t="shared" si="95"/>
        <v>308</v>
      </c>
      <c r="Q1201" s="12">
        <f t="shared" si="91"/>
        <v>3.8581924677955537E-4</v>
      </c>
      <c r="S1201" s="13">
        <f t="shared" si="92"/>
        <v>0</v>
      </c>
      <c r="U1201" s="13">
        <f t="shared" si="93"/>
        <v>0</v>
      </c>
      <c r="V1201" s="12"/>
      <c r="W1201" s="13">
        <f t="shared" si="94"/>
        <v>0</v>
      </c>
    </row>
    <row r="1202" spans="15:23" x14ac:dyDescent="0.25">
      <c r="O1202" s="1">
        <f t="shared" si="95"/>
        <v>307</v>
      </c>
      <c r="Q1202" s="12">
        <f t="shared" si="91"/>
        <v>3.7412145922465227E-4</v>
      </c>
      <c r="S1202" s="13">
        <f t="shared" si="92"/>
        <v>0</v>
      </c>
      <c r="U1202" s="13">
        <f t="shared" si="93"/>
        <v>0</v>
      </c>
      <c r="V1202" s="12"/>
      <c r="W1202" s="13">
        <f t="shared" si="94"/>
        <v>0</v>
      </c>
    </row>
    <row r="1203" spans="15:23" x14ac:dyDescent="0.25">
      <c r="O1203" s="1">
        <f t="shared" si="95"/>
        <v>306</v>
      </c>
      <c r="Q1203" s="12">
        <f t="shared" si="91"/>
        <v>3.626644921070043E-4</v>
      </c>
      <c r="S1203" s="13">
        <f t="shared" si="92"/>
        <v>0</v>
      </c>
      <c r="U1203" s="13">
        <f t="shared" si="93"/>
        <v>0</v>
      </c>
      <c r="V1203" s="12"/>
      <c r="W1203" s="13">
        <f t="shared" si="94"/>
        <v>0</v>
      </c>
    </row>
    <row r="1204" spans="15:23" x14ac:dyDescent="0.25">
      <c r="O1204" s="1">
        <f t="shared" si="95"/>
        <v>305</v>
      </c>
      <c r="Q1204" s="12">
        <f t="shared" si="91"/>
        <v>3.5144708339074056E-4</v>
      </c>
      <c r="S1204" s="13">
        <f t="shared" si="92"/>
        <v>0</v>
      </c>
      <c r="U1204" s="13">
        <f t="shared" si="93"/>
        <v>0</v>
      </c>
      <c r="V1204" s="12"/>
      <c r="W1204" s="13">
        <f t="shared" si="94"/>
        <v>0</v>
      </c>
    </row>
    <row r="1205" spans="15:23" x14ac:dyDescent="0.25">
      <c r="O1205" s="1">
        <f t="shared" si="95"/>
        <v>304</v>
      </c>
      <c r="Q1205" s="12">
        <f t="shared" si="91"/>
        <v>3.4046786729399758E-4</v>
      </c>
      <c r="S1205" s="13">
        <f t="shared" si="92"/>
        <v>0</v>
      </c>
      <c r="U1205" s="13">
        <f t="shared" si="93"/>
        <v>0</v>
      </c>
      <c r="V1205" s="12"/>
      <c r="W1205" s="13">
        <f t="shared" si="94"/>
        <v>0</v>
      </c>
    </row>
    <row r="1206" spans="15:23" x14ac:dyDescent="0.25">
      <c r="O1206" s="1">
        <f t="shared" si="95"/>
        <v>303</v>
      </c>
      <c r="Q1206" s="12">
        <f t="shared" si="91"/>
        <v>3.2972537652638533E-4</v>
      </c>
      <c r="S1206" s="13">
        <f t="shared" si="92"/>
        <v>0</v>
      </c>
      <c r="U1206" s="13">
        <f t="shared" si="93"/>
        <v>0</v>
      </c>
      <c r="V1206" s="12"/>
      <c r="W1206" s="13">
        <f t="shared" si="94"/>
        <v>0</v>
      </c>
    </row>
    <row r="1207" spans="15:23" x14ac:dyDescent="0.25">
      <c r="O1207" s="1">
        <f t="shared" si="95"/>
        <v>302</v>
      </c>
      <c r="Q1207" s="12">
        <f t="shared" si="91"/>
        <v>3.1921804460273277E-4</v>
      </c>
      <c r="S1207" s="13">
        <f t="shared" si="92"/>
        <v>0</v>
      </c>
      <c r="U1207" s="13">
        <f t="shared" si="93"/>
        <v>0</v>
      </c>
      <c r="V1207" s="12"/>
      <c r="W1207" s="13">
        <f t="shared" si="94"/>
        <v>0</v>
      </c>
    </row>
    <row r="1208" spans="15:23" x14ac:dyDescent="0.25">
      <c r="O1208" s="1">
        <f t="shared" si="95"/>
        <v>301</v>
      </c>
      <c r="Q1208" s="12">
        <f t="shared" si="91"/>
        <v>3.0894420823027028E-4</v>
      </c>
      <c r="S1208" s="13">
        <f t="shared" si="92"/>
        <v>0</v>
      </c>
      <c r="U1208" s="13">
        <f t="shared" si="93"/>
        <v>0</v>
      </c>
      <c r="V1208" s="12"/>
      <c r="W1208" s="13">
        <f t="shared" si="94"/>
        <v>0</v>
      </c>
    </row>
    <row r="1209" spans="15:23" x14ac:dyDescent="0.25">
      <c r="O1209" s="1">
        <f t="shared" si="95"/>
        <v>300</v>
      </c>
      <c r="Q1209" s="12">
        <f t="shared" si="91"/>
        <v>2.9890210976636801E-4</v>
      </c>
      <c r="S1209" s="13">
        <f t="shared" si="92"/>
        <v>0</v>
      </c>
      <c r="U1209" s="13">
        <f t="shared" si="93"/>
        <v>0</v>
      </c>
      <c r="V1209" s="12"/>
      <c r="W1209" s="13">
        <f t="shared" si="94"/>
        <v>0</v>
      </c>
    </row>
    <row r="1210" spans="15:23" x14ac:dyDescent="0.25">
      <c r="O1210" s="1">
        <f t="shared" si="95"/>
        <v>299</v>
      </c>
      <c r="Q1210" s="12">
        <f t="shared" si="91"/>
        <v>2.8908989974373549E-4</v>
      </c>
      <c r="S1210" s="13">
        <f t="shared" si="92"/>
        <v>0</v>
      </c>
      <c r="U1210" s="13">
        <f t="shared" si="93"/>
        <v>0</v>
      </c>
      <c r="V1210" s="12"/>
      <c r="W1210" s="13">
        <f t="shared" si="94"/>
        <v>0</v>
      </c>
    </row>
    <row r="1211" spans="15:23" x14ac:dyDescent="0.25">
      <c r="O1211" s="1">
        <f t="shared" si="95"/>
        <v>298</v>
      </c>
      <c r="Q1211" s="12">
        <f t="shared" si="91"/>
        <v>2.7950563945998446E-4</v>
      </c>
      <c r="S1211" s="13">
        <f t="shared" si="92"/>
        <v>0</v>
      </c>
      <c r="U1211" s="13">
        <f t="shared" si="93"/>
        <v>0</v>
      </c>
      <c r="V1211" s="12"/>
      <c r="W1211" s="13">
        <f t="shared" si="94"/>
        <v>0</v>
      </c>
    </row>
    <row r="1212" spans="15:23" x14ac:dyDescent="0.25">
      <c r="O1212" s="1">
        <f t="shared" si="95"/>
        <v>297</v>
      </c>
      <c r="Q1212" s="12">
        <f t="shared" si="91"/>
        <v>2.7014730362834652E-4</v>
      </c>
      <c r="S1212" s="13">
        <f t="shared" si="92"/>
        <v>0</v>
      </c>
      <c r="U1212" s="13">
        <f t="shared" si="93"/>
        <v>0</v>
      </c>
      <c r="V1212" s="12"/>
      <c r="W1212" s="13">
        <f t="shared" si="94"/>
        <v>0</v>
      </c>
    </row>
    <row r="1213" spans="15:23" x14ac:dyDescent="0.25">
      <c r="O1213" s="1">
        <f t="shared" si="95"/>
        <v>296</v>
      </c>
      <c r="Q1213" s="12">
        <f t="shared" si="91"/>
        <v>2.6101278308618983E-4</v>
      </c>
      <c r="S1213" s="13">
        <f t="shared" si="92"/>
        <v>0</v>
      </c>
      <c r="U1213" s="13">
        <f t="shared" si="93"/>
        <v>0</v>
      </c>
      <c r="V1213" s="12"/>
      <c r="W1213" s="13">
        <f t="shared" si="94"/>
        <v>0</v>
      </c>
    </row>
    <row r="1214" spans="15:23" x14ac:dyDescent="0.25">
      <c r="O1214" s="1">
        <f t="shared" si="95"/>
        <v>295</v>
      </c>
      <c r="Q1214" s="12">
        <f t="shared" si="91"/>
        <v>2.5209988755799383E-4</v>
      </c>
      <c r="S1214" s="13">
        <f t="shared" si="92"/>
        <v>0</v>
      </c>
      <c r="U1214" s="13">
        <f t="shared" si="93"/>
        <v>0</v>
      </c>
      <c r="V1214" s="12"/>
      <c r="W1214" s="13">
        <f t="shared" si="94"/>
        <v>0</v>
      </c>
    </row>
    <row r="1215" spans="15:23" x14ac:dyDescent="0.25">
      <c r="O1215" s="1">
        <f t="shared" si="95"/>
        <v>294</v>
      </c>
      <c r="Q1215" s="12">
        <f t="shared" si="91"/>
        <v>2.4340634846925347E-4</v>
      </c>
      <c r="S1215" s="13">
        <f t="shared" si="92"/>
        <v>0</v>
      </c>
      <c r="U1215" s="13">
        <f t="shared" si="93"/>
        <v>0</v>
      </c>
      <c r="V1215" s="12"/>
      <c r="W1215" s="13">
        <f t="shared" si="94"/>
        <v>0</v>
      </c>
    </row>
    <row r="1216" spans="15:23" x14ac:dyDescent="0.25">
      <c r="O1216" s="1">
        <f t="shared" si="95"/>
        <v>293</v>
      </c>
      <c r="Q1216" s="12">
        <f t="shared" si="91"/>
        <v>2.3492982180783816E-4</v>
      </c>
      <c r="S1216" s="13">
        <f t="shared" si="92"/>
        <v>0</v>
      </c>
      <c r="U1216" s="13">
        <f t="shared" si="93"/>
        <v>0</v>
      </c>
      <c r="V1216" s="12"/>
      <c r="W1216" s="13">
        <f t="shared" si="94"/>
        <v>0</v>
      </c>
    </row>
    <row r="1217" spans="15:23" x14ac:dyDescent="0.25">
      <c r="O1217" s="1">
        <f t="shared" si="95"/>
        <v>292</v>
      </c>
      <c r="Q1217" s="12">
        <f t="shared" si="91"/>
        <v>2.2666789102911876E-4</v>
      </c>
      <c r="S1217" s="13">
        <f t="shared" si="92"/>
        <v>0</v>
      </c>
      <c r="U1217" s="13">
        <f t="shared" si="93"/>
        <v>0</v>
      </c>
      <c r="V1217" s="12"/>
      <c r="W1217" s="13">
        <f t="shared" si="94"/>
        <v>0</v>
      </c>
    </row>
    <row r="1218" spans="15:23" x14ac:dyDescent="0.25">
      <c r="O1218" s="1">
        <f t="shared" si="95"/>
        <v>291</v>
      </c>
      <c r="Q1218" s="12">
        <f t="shared" si="91"/>
        <v>2.1861807000125974E-4</v>
      </c>
      <c r="S1218" s="13">
        <f t="shared" si="92"/>
        <v>0</v>
      </c>
      <c r="U1218" s="13">
        <f t="shared" si="93"/>
        <v>0</v>
      </c>
      <c r="V1218" s="12"/>
      <c r="W1218" s="13">
        <f t="shared" si="94"/>
        <v>0</v>
      </c>
    </row>
    <row r="1219" spans="15:23" x14ac:dyDescent="0.25">
      <c r="O1219" s="1">
        <f t="shared" si="95"/>
        <v>290</v>
      </c>
      <c r="Q1219" s="12">
        <f t="shared" si="91"/>
        <v>2.1077780598688137E-4</v>
      </c>
      <c r="S1219" s="13">
        <f t="shared" si="92"/>
        <v>0</v>
      </c>
      <c r="U1219" s="13">
        <f t="shared" si="93"/>
        <v>0</v>
      </c>
      <c r="V1219" s="12"/>
      <c r="W1219" s="13">
        <f t="shared" si="94"/>
        <v>0</v>
      </c>
    </row>
    <row r="1220" spans="15:23" x14ac:dyDescent="0.25">
      <c r="O1220" s="1">
        <f t="shared" si="95"/>
        <v>289</v>
      </c>
      <c r="Q1220" s="12">
        <f t="shared" si="91"/>
        <v>2.0314448265738123E-4</v>
      </c>
      <c r="S1220" s="13">
        <f t="shared" si="92"/>
        <v>0</v>
      </c>
      <c r="U1220" s="13">
        <f t="shared" si="93"/>
        <v>0</v>
      </c>
      <c r="V1220" s="12"/>
      <c r="W1220" s="13">
        <f t="shared" si="94"/>
        <v>0</v>
      </c>
    </row>
    <row r="1221" spans="15:23" x14ac:dyDescent="0.25">
      <c r="O1221" s="1">
        <f t="shared" si="95"/>
        <v>288</v>
      </c>
      <c r="Q1221" s="12">
        <f t="shared" si="91"/>
        <v>1.9571542313602405E-4</v>
      </c>
      <c r="S1221" s="13">
        <f t="shared" si="92"/>
        <v>0</v>
      </c>
      <c r="U1221" s="13">
        <f t="shared" si="93"/>
        <v>0</v>
      </c>
      <c r="V1221" s="12"/>
      <c r="W1221" s="13">
        <f t="shared" si="94"/>
        <v>0</v>
      </c>
    </row>
    <row r="1222" spans="15:23" x14ac:dyDescent="0.25">
      <c r="O1222" s="1">
        <f t="shared" si="95"/>
        <v>287</v>
      </c>
      <c r="Q1222" s="12">
        <f t="shared" si="91"/>
        <v>1.8848789306599956E-4</v>
      </c>
      <c r="S1222" s="13">
        <f t="shared" si="92"/>
        <v>0</v>
      </c>
      <c r="U1222" s="13">
        <f t="shared" si="93"/>
        <v>0</v>
      </c>
      <c r="V1222" s="12"/>
      <c r="W1222" s="13">
        <f t="shared" si="94"/>
        <v>0</v>
      </c>
    </row>
    <row r="1223" spans="15:23" x14ac:dyDescent="0.25">
      <c r="O1223" s="1">
        <f t="shared" si="95"/>
        <v>286</v>
      </c>
      <c r="Q1223" s="12">
        <f t="shared" si="91"/>
        <v>1.8145910369951553E-4</v>
      </c>
      <c r="S1223" s="13">
        <f t="shared" si="92"/>
        <v>0</v>
      </c>
      <c r="U1223" s="13">
        <f t="shared" si="93"/>
        <v>0</v>
      </c>
      <c r="V1223" s="12"/>
      <c r="W1223" s="13">
        <f t="shared" si="94"/>
        <v>0</v>
      </c>
    </row>
    <row r="1224" spans="15:23" x14ac:dyDescent="0.25">
      <c r="O1224" s="1">
        <f t="shared" si="95"/>
        <v>285</v>
      </c>
      <c r="Q1224" s="12">
        <f t="shared" si="91"/>
        <v>1.7462621500403554E-4</v>
      </c>
      <c r="S1224" s="13">
        <f t="shared" si="92"/>
        <v>0</v>
      </c>
      <c r="U1224" s="13">
        <f t="shared" si="93"/>
        <v>0</v>
      </c>
      <c r="V1224" s="12"/>
      <c r="W1224" s="13">
        <f t="shared" si="94"/>
        <v>0</v>
      </c>
    </row>
    <row r="1225" spans="15:23" x14ac:dyDescent="0.25">
      <c r="O1225" s="1">
        <f t="shared" si="95"/>
        <v>284</v>
      </c>
      <c r="Q1225" s="12">
        <f t="shared" si="91"/>
        <v>1.6798633878170464E-4</v>
      </c>
      <c r="S1225" s="13">
        <f t="shared" si="92"/>
        <v>0</v>
      </c>
      <c r="U1225" s="13">
        <f t="shared" si="93"/>
        <v>0</v>
      </c>
      <c r="V1225" s="12"/>
      <c r="W1225" s="13">
        <f t="shared" si="94"/>
        <v>0</v>
      </c>
    </row>
    <row r="1226" spans="15:23" x14ac:dyDescent="0.25">
      <c r="O1226" s="1">
        <f t="shared" si="95"/>
        <v>283</v>
      </c>
      <c r="Q1226" s="12">
        <f t="shared" ref="Q1226:Q1289" si="96">_xlfn.LOGNORM.DIST(O1226,$D$25,$D$26,FALSE)</f>
        <v>1.6153654179804726E-4</v>
      </c>
      <c r="S1226" s="13">
        <f t="shared" ref="S1226:S1289" si="97">IF(O1226&gt;$D$6,O1226*Q1226,0)</f>
        <v>0</v>
      </c>
      <c r="U1226" s="13">
        <f t="shared" ref="U1226:U1289" si="98">IF(O1226&gt;$D$6,$D$6*Q1226,0)</f>
        <v>0</v>
      </c>
      <c r="V1226" s="12"/>
      <c r="W1226" s="13">
        <f t="shared" ref="W1226:W1289" si="99">(S1226-U1226)*EXP(-$D$9*$D$7)</f>
        <v>0</v>
      </c>
    </row>
    <row r="1227" spans="15:23" x14ac:dyDescent="0.25">
      <c r="O1227" s="1">
        <f t="shared" ref="O1227:O1290" si="100">O1226-1</f>
        <v>282</v>
      </c>
      <c r="Q1227" s="12">
        <f t="shared" si="96"/>
        <v>1.5527384891595773E-4</v>
      </c>
      <c r="S1227" s="13">
        <f t="shared" si="97"/>
        <v>0</v>
      </c>
      <c r="U1227" s="13">
        <f t="shared" si="98"/>
        <v>0</v>
      </c>
      <c r="V1227" s="12"/>
      <c r="W1227" s="13">
        <f t="shared" si="99"/>
        <v>0</v>
      </c>
    </row>
    <row r="1228" spans="15:23" x14ac:dyDescent="0.25">
      <c r="O1228" s="1">
        <f t="shared" si="100"/>
        <v>281</v>
      </c>
      <c r="Q1228" s="12">
        <f t="shared" si="96"/>
        <v>1.4919524623105453E-4</v>
      </c>
      <c r="S1228" s="13">
        <f t="shared" si="97"/>
        <v>0</v>
      </c>
      <c r="U1228" s="13">
        <f t="shared" si="98"/>
        <v>0</v>
      </c>
      <c r="V1228" s="12"/>
      <c r="W1228" s="13">
        <f t="shared" si="99"/>
        <v>0</v>
      </c>
    </row>
    <row r="1229" spans="15:23" x14ac:dyDescent="0.25">
      <c r="O1229" s="1">
        <f t="shared" si="100"/>
        <v>280</v>
      </c>
      <c r="Q1229" s="12">
        <f t="shared" si="96"/>
        <v>1.4329768420446001E-4</v>
      </c>
      <c r="S1229" s="13">
        <f t="shared" si="97"/>
        <v>0</v>
      </c>
      <c r="U1229" s="13">
        <f t="shared" si="98"/>
        <v>0</v>
      </c>
      <c r="V1229" s="12"/>
      <c r="W1229" s="13">
        <f t="shared" si="99"/>
        <v>0</v>
      </c>
    </row>
    <row r="1230" spans="15:23" x14ac:dyDescent="0.25">
      <c r="O1230" s="1">
        <f t="shared" si="100"/>
        <v>279</v>
      </c>
      <c r="Q1230" s="12">
        <f t="shared" si="96"/>
        <v>1.3757808078906529E-4</v>
      </c>
      <c r="S1230" s="13">
        <f t="shared" si="97"/>
        <v>0</v>
      </c>
      <c r="U1230" s="13">
        <f t="shared" si="98"/>
        <v>0</v>
      </c>
      <c r="V1230" s="12"/>
      <c r="W1230" s="13">
        <f t="shared" si="99"/>
        <v>0</v>
      </c>
    </row>
    <row r="1231" spans="15:23" x14ac:dyDescent="0.25">
      <c r="O1231" s="1">
        <f t="shared" si="100"/>
        <v>278</v>
      </c>
      <c r="Q1231" s="12">
        <f t="shared" si="96"/>
        <v>1.3203332454540649E-4</v>
      </c>
      <c r="S1231" s="13">
        <f t="shared" si="97"/>
        <v>0</v>
      </c>
      <c r="U1231" s="13">
        <f t="shared" si="98"/>
        <v>0</v>
      </c>
      <c r="V1231" s="12"/>
      <c r="W1231" s="13">
        <f t="shared" si="99"/>
        <v>0</v>
      </c>
    </row>
    <row r="1232" spans="15:23" x14ac:dyDescent="0.25">
      <c r="O1232" s="1">
        <f t="shared" si="100"/>
        <v>277</v>
      </c>
      <c r="Q1232" s="12">
        <f t="shared" si="96"/>
        <v>1.2666027774326695E-4</v>
      </c>
      <c r="S1232" s="13">
        <f t="shared" si="97"/>
        <v>0</v>
      </c>
      <c r="U1232" s="13">
        <f t="shared" si="98"/>
        <v>0</v>
      </c>
      <c r="V1232" s="12"/>
      <c r="W1232" s="13">
        <f t="shared" si="99"/>
        <v>0</v>
      </c>
    </row>
    <row r="1233" spans="15:23" x14ac:dyDescent="0.25">
      <c r="O1233" s="1">
        <f t="shared" si="100"/>
        <v>276</v>
      </c>
      <c r="Q1233" s="12">
        <f t="shared" si="96"/>
        <v>1.214557794451755E-4</v>
      </c>
      <c r="S1233" s="13">
        <f t="shared" si="97"/>
        <v>0</v>
      </c>
      <c r="U1233" s="13">
        <f t="shared" si="98"/>
        <v>0</v>
      </c>
      <c r="V1233" s="12"/>
      <c r="W1233" s="13">
        <f t="shared" si="99"/>
        <v>0</v>
      </c>
    </row>
    <row r="1234" spans="15:23" x14ac:dyDescent="0.25">
      <c r="O1234" s="1">
        <f t="shared" si="100"/>
        <v>275</v>
      </c>
      <c r="Q1234" s="12">
        <f t="shared" si="96"/>
        <v>1.1641664856801944E-4</v>
      </c>
      <c r="S1234" s="13">
        <f t="shared" si="97"/>
        <v>0</v>
      </c>
      <c r="U1234" s="13">
        <f t="shared" si="98"/>
        <v>0</v>
      </c>
      <c r="V1234" s="12"/>
      <c r="W1234" s="13">
        <f t="shared" si="99"/>
        <v>0</v>
      </c>
    </row>
    <row r="1235" spans="15:23" x14ac:dyDescent="0.25">
      <c r="O1235" s="1">
        <f t="shared" si="100"/>
        <v>274</v>
      </c>
      <c r="Q1235" s="12">
        <f t="shared" si="96"/>
        <v>1.1153968691901987E-4</v>
      </c>
      <c r="S1235" s="13">
        <f t="shared" si="97"/>
        <v>0</v>
      </c>
      <c r="U1235" s="13">
        <f t="shared" si="98"/>
        <v>0</v>
      </c>
      <c r="V1235" s="12"/>
      <c r="W1235" s="13">
        <f t="shared" si="99"/>
        <v>0</v>
      </c>
    </row>
    <row r="1236" spans="15:23" x14ac:dyDescent="0.25">
      <c r="O1236" s="1">
        <f t="shared" si="100"/>
        <v>273</v>
      </c>
      <c r="Q1236" s="12">
        <f t="shared" si="96"/>
        <v>1.0682168220241297E-4</v>
      </c>
      <c r="S1236" s="13">
        <f t="shared" si="97"/>
        <v>0</v>
      </c>
      <c r="U1236" s="13">
        <f t="shared" si="98"/>
        <v>0</v>
      </c>
      <c r="V1236" s="12"/>
      <c r="W1236" s="13">
        <f t="shared" si="99"/>
        <v>0</v>
      </c>
    </row>
    <row r="1237" spans="15:23" x14ac:dyDescent="0.25">
      <c r="O1237" s="1">
        <f t="shared" si="100"/>
        <v>272</v>
      </c>
      <c r="Q1237" s="12">
        <f t="shared" si="96"/>
        <v>1.022594109931987E-4</v>
      </c>
      <c r="S1237" s="13">
        <f t="shared" si="97"/>
        <v>0</v>
      </c>
      <c r="U1237" s="13">
        <f t="shared" si="98"/>
        <v>0</v>
      </c>
      <c r="V1237" s="12"/>
      <c r="W1237" s="13">
        <f t="shared" si="99"/>
        <v>0</v>
      </c>
    </row>
    <row r="1238" spans="15:23" x14ac:dyDescent="0.25">
      <c r="O1238" s="1">
        <f t="shared" si="100"/>
        <v>271</v>
      </c>
      <c r="Q1238" s="12">
        <f t="shared" si="96"/>
        <v>9.7849641674417138E-5</v>
      </c>
      <c r="S1238" s="13">
        <f t="shared" si="97"/>
        <v>0</v>
      </c>
      <c r="U1238" s="13">
        <f t="shared" si="98"/>
        <v>0</v>
      </c>
      <c r="V1238" s="12"/>
      <c r="W1238" s="13">
        <f t="shared" si="99"/>
        <v>0</v>
      </c>
    </row>
    <row r="1239" spans="15:23" x14ac:dyDescent="0.25">
      <c r="O1239" s="1">
        <f t="shared" si="100"/>
        <v>270</v>
      </c>
      <c r="Q1239" s="12">
        <f t="shared" si="96"/>
        <v>9.3589137334501804E-5</v>
      </c>
      <c r="S1239" s="13">
        <f t="shared" si="97"/>
        <v>0</v>
      </c>
      <c r="U1239" s="13">
        <f t="shared" si="98"/>
        <v>0</v>
      </c>
      <c r="V1239" s="12"/>
      <c r="W1239" s="13">
        <f t="shared" si="99"/>
        <v>0</v>
      </c>
    </row>
    <row r="1240" spans="15:23" x14ac:dyDescent="0.25">
      <c r="O1240" s="1">
        <f t="shared" si="100"/>
        <v>269</v>
      </c>
      <c r="Q1240" s="12">
        <f t="shared" si="96"/>
        <v>8.9474658621296936E-5</v>
      </c>
      <c r="S1240" s="13">
        <f t="shared" si="97"/>
        <v>0</v>
      </c>
      <c r="U1240" s="13">
        <f t="shared" si="98"/>
        <v>0</v>
      </c>
      <c r="V1240" s="12"/>
      <c r="W1240" s="13">
        <f t="shared" si="99"/>
        <v>0</v>
      </c>
    </row>
    <row r="1241" spans="15:23" x14ac:dyDescent="0.25">
      <c r="O1241" s="1">
        <f t="shared" si="100"/>
        <v>268</v>
      </c>
      <c r="Q1241" s="12">
        <f t="shared" si="96"/>
        <v>8.550296654947374E-5</v>
      </c>
      <c r="S1241" s="13">
        <f t="shared" si="97"/>
        <v>0</v>
      </c>
      <c r="U1241" s="13">
        <f t="shared" si="98"/>
        <v>0</v>
      </c>
      <c r="V1241" s="12"/>
      <c r="W1241" s="13">
        <f t="shared" si="99"/>
        <v>0</v>
      </c>
    </row>
    <row r="1242" spans="15:23" x14ac:dyDescent="0.25">
      <c r="O1242" s="1">
        <f t="shared" si="100"/>
        <v>267</v>
      </c>
      <c r="Q1242" s="12">
        <f t="shared" si="96"/>
        <v>8.1670825258125653E-5</v>
      </c>
      <c r="S1242" s="13">
        <f t="shared" si="97"/>
        <v>0</v>
      </c>
      <c r="U1242" s="13">
        <f t="shared" si="98"/>
        <v>0</v>
      </c>
      <c r="V1242" s="12"/>
      <c r="W1242" s="13">
        <f t="shared" si="99"/>
        <v>0</v>
      </c>
    </row>
    <row r="1243" spans="15:23" x14ac:dyDescent="0.25">
      <c r="O1243" s="1">
        <f t="shared" si="100"/>
        <v>266</v>
      </c>
      <c r="Q1243" s="12">
        <f t="shared" si="96"/>
        <v>7.797500471545601E-5</v>
      </c>
      <c r="S1243" s="13">
        <f t="shared" si="97"/>
        <v>0</v>
      </c>
      <c r="U1243" s="13">
        <f t="shared" si="98"/>
        <v>0</v>
      </c>
      <c r="V1243" s="12"/>
      <c r="W1243" s="13">
        <f t="shared" si="99"/>
        <v>0</v>
      </c>
    </row>
    <row r="1244" spans="15:23" x14ac:dyDescent="0.25">
      <c r="O1244" s="1">
        <f t="shared" si="100"/>
        <v>265</v>
      </c>
      <c r="Q1244" s="12">
        <f t="shared" si="96"/>
        <v>7.4412283367573687E-5</v>
      </c>
      <c r="S1244" s="13">
        <f t="shared" si="97"/>
        <v>0</v>
      </c>
      <c r="U1244" s="13">
        <f t="shared" si="98"/>
        <v>0</v>
      </c>
      <c r="V1244" s="12"/>
      <c r="W1244" s="13">
        <f t="shared" si="99"/>
        <v>0</v>
      </c>
    </row>
    <row r="1245" spans="15:23" x14ac:dyDescent="0.25">
      <c r="O1245" s="1">
        <f t="shared" si="100"/>
        <v>264</v>
      </c>
      <c r="Q1245" s="12">
        <f t="shared" si="96"/>
        <v>7.097945072851049E-5</v>
      </c>
      <c r="S1245" s="13">
        <f t="shared" si="97"/>
        <v>0</v>
      </c>
      <c r="U1245" s="13">
        <f t="shared" si="98"/>
        <v>0</v>
      </c>
      <c r="V1245" s="12"/>
      <c r="W1245" s="13">
        <f t="shared" si="99"/>
        <v>0</v>
      </c>
    </row>
    <row r="1246" spans="15:23" x14ac:dyDescent="0.25">
      <c r="O1246" s="1">
        <f t="shared" si="100"/>
        <v>263</v>
      </c>
      <c r="Q1246" s="12">
        <f t="shared" si="96"/>
        <v>6.7673309908710877E-5</v>
      </c>
      <c r="S1246" s="13">
        <f t="shared" si="97"/>
        <v>0</v>
      </c>
      <c r="U1246" s="13">
        <f t="shared" si="98"/>
        <v>0</v>
      </c>
      <c r="V1246" s="12"/>
      <c r="W1246" s="13">
        <f t="shared" si="99"/>
        <v>0</v>
      </c>
    </row>
    <row r="1247" spans="15:23" x14ac:dyDescent="0.25">
      <c r="O1247" s="1">
        <f t="shared" si="100"/>
        <v>262</v>
      </c>
      <c r="Q1247" s="12">
        <f t="shared" si="96"/>
        <v>6.4490680079355706E-5</v>
      </c>
      <c r="S1247" s="13">
        <f t="shared" si="97"/>
        <v>0</v>
      </c>
      <c r="U1247" s="13">
        <f t="shared" si="98"/>
        <v>0</v>
      </c>
      <c r="V1247" s="12"/>
      <c r="W1247" s="13">
        <f t="shared" si="99"/>
        <v>0</v>
      </c>
    </row>
    <row r="1248" spans="15:23" x14ac:dyDescent="0.25">
      <c r="O1248" s="1">
        <f t="shared" si="100"/>
        <v>261</v>
      </c>
      <c r="Q1248" s="12">
        <f t="shared" si="96"/>
        <v>6.1428398870021141E-5</v>
      </c>
      <c r="S1248" s="13">
        <f t="shared" si="97"/>
        <v>0</v>
      </c>
      <c r="U1248" s="13">
        <f t="shared" si="98"/>
        <v>0</v>
      </c>
      <c r="V1248" s="12"/>
      <c r="W1248" s="13">
        <f t="shared" si="99"/>
        <v>0</v>
      </c>
    </row>
    <row r="1249" spans="15:23" x14ac:dyDescent="0.25">
      <c r="O1249" s="1">
        <f t="shared" si="100"/>
        <v>260</v>
      </c>
      <c r="Q1249" s="12">
        <f t="shared" si="96"/>
        <v>5.8483324697285317E-5</v>
      </c>
      <c r="S1249" s="13">
        <f t="shared" si="97"/>
        <v>0</v>
      </c>
      <c r="U1249" s="13">
        <f t="shared" si="98"/>
        <v>0</v>
      </c>
      <c r="V1249" s="12"/>
      <c r="W1249" s="13">
        <f t="shared" si="99"/>
        <v>0</v>
      </c>
    </row>
    <row r="1250" spans="15:23" x14ac:dyDescent="0.25">
      <c r="O1250" s="1">
        <f t="shared" si="100"/>
        <v>259</v>
      </c>
      <c r="Q1250" s="12">
        <f t="shared" si="96"/>
        <v>5.5652339022065082E-5</v>
      </c>
      <c r="S1250" s="13">
        <f t="shared" si="97"/>
        <v>0</v>
      </c>
      <c r="U1250" s="13">
        <f t="shared" si="98"/>
        <v>0</v>
      </c>
      <c r="V1250" s="12"/>
      <c r="W1250" s="13">
        <f t="shared" si="99"/>
        <v>0</v>
      </c>
    </row>
    <row r="1251" spans="15:23" x14ac:dyDescent="0.25">
      <c r="O1251" s="1">
        <f t="shared" si="100"/>
        <v>258</v>
      </c>
      <c r="Q1251" s="12">
        <f t="shared" si="96"/>
        <v>5.293234853356855E-5</v>
      </c>
      <c r="S1251" s="13">
        <f t="shared" si="97"/>
        <v>0</v>
      </c>
      <c r="U1251" s="13">
        <f t="shared" si="98"/>
        <v>0</v>
      </c>
      <c r="V1251" s="12"/>
      <c r="W1251" s="13">
        <f t="shared" si="99"/>
        <v>0</v>
      </c>
    </row>
    <row r="1252" spans="15:23" x14ac:dyDescent="0.25">
      <c r="O1252" s="1">
        <f t="shared" si="100"/>
        <v>257</v>
      </c>
      <c r="Q1252" s="12">
        <f t="shared" si="96"/>
        <v>5.0320287257920731E-5</v>
      </c>
      <c r="S1252" s="13">
        <f t="shared" si="97"/>
        <v>0</v>
      </c>
      <c r="U1252" s="13">
        <f t="shared" si="98"/>
        <v>0</v>
      </c>
      <c r="V1252" s="12"/>
      <c r="W1252" s="13">
        <f t="shared" si="99"/>
        <v>0</v>
      </c>
    </row>
    <row r="1253" spans="15:23" x14ac:dyDescent="0.25">
      <c r="O1253" s="1">
        <f t="shared" si="100"/>
        <v>256</v>
      </c>
      <c r="Q1253" s="12">
        <f t="shared" si="96"/>
        <v>4.7813118589657758E-5</v>
      </c>
      <c r="S1253" s="13">
        <f t="shared" si="97"/>
        <v>0</v>
      </c>
      <c r="U1253" s="13">
        <f t="shared" si="98"/>
        <v>0</v>
      </c>
      <c r="V1253" s="12"/>
      <c r="W1253" s="13">
        <f t="shared" si="99"/>
        <v>0</v>
      </c>
    </row>
    <row r="1254" spans="15:23" x14ac:dyDescent="0.25">
      <c r="O1254" s="1">
        <f t="shared" si="100"/>
        <v>255</v>
      </c>
      <c r="Q1254" s="12">
        <f t="shared" si="96"/>
        <v>4.5407837244434075E-5</v>
      </c>
      <c r="S1254" s="13">
        <f t="shared" si="97"/>
        <v>0</v>
      </c>
      <c r="U1254" s="13">
        <f t="shared" si="98"/>
        <v>0</v>
      </c>
      <c r="V1254" s="12"/>
      <c r="W1254" s="13">
        <f t="shared" si="99"/>
        <v>0</v>
      </c>
    </row>
    <row r="1255" spans="15:23" x14ac:dyDescent="0.25">
      <c r="O1255" s="1">
        <f t="shared" si="100"/>
        <v>254</v>
      </c>
      <c r="Q1255" s="12">
        <f t="shared" si="96"/>
        <v>4.3101471131436177E-5</v>
      </c>
      <c r="S1255" s="13">
        <f t="shared" si="97"/>
        <v>0</v>
      </c>
      <c r="U1255" s="13">
        <f t="shared" si="98"/>
        <v>0</v>
      </c>
      <c r="V1255" s="12"/>
      <c r="W1255" s="13">
        <f t="shared" si="99"/>
        <v>0</v>
      </c>
    </row>
    <row r="1256" spans="15:23" x14ac:dyDescent="0.25">
      <c r="O1256" s="1">
        <f t="shared" si="100"/>
        <v>253</v>
      </c>
      <c r="Q1256" s="12">
        <f t="shared" si="96"/>
        <v>4.0891083144163658E-5</v>
      </c>
      <c r="S1256" s="13">
        <f t="shared" si="97"/>
        <v>0</v>
      </c>
      <c r="U1256" s="13">
        <f t="shared" si="98"/>
        <v>0</v>
      </c>
      <c r="V1256" s="12"/>
      <c r="W1256" s="13">
        <f t="shared" si="99"/>
        <v>0</v>
      </c>
    </row>
    <row r="1257" spans="15:23" x14ac:dyDescent="0.25">
      <c r="O1257" s="1">
        <f t="shared" si="100"/>
        <v>252</v>
      </c>
      <c r="Q1257" s="12">
        <f t="shared" si="96"/>
        <v>3.8773772868386297E-5</v>
      </c>
      <c r="S1257" s="13">
        <f t="shared" si="97"/>
        <v>0</v>
      </c>
      <c r="U1257" s="13">
        <f t="shared" si="98"/>
        <v>0</v>
      </c>
      <c r="V1257" s="12"/>
      <c r="W1257" s="13">
        <f t="shared" si="99"/>
        <v>0</v>
      </c>
    </row>
    <row r="1258" spans="15:23" x14ac:dyDescent="0.25">
      <c r="O1258" s="1">
        <f t="shared" si="100"/>
        <v>251</v>
      </c>
      <c r="Q1258" s="12">
        <f t="shared" si="96"/>
        <v>3.674667820624195E-5</v>
      </c>
      <c r="S1258" s="13">
        <f t="shared" si="97"/>
        <v>0</v>
      </c>
      <c r="U1258" s="13">
        <f t="shared" si="98"/>
        <v>0</v>
      </c>
      <c r="V1258" s="12"/>
      <c r="W1258" s="13">
        <f t="shared" si="99"/>
        <v>0</v>
      </c>
    </row>
    <row r="1259" spans="15:23" x14ac:dyDescent="0.25">
      <c r="O1259" s="1">
        <f t="shared" si="100"/>
        <v>250</v>
      </c>
      <c r="Q1259" s="12">
        <f t="shared" si="96"/>
        <v>3.4806976915609814E-5</v>
      </c>
      <c r="S1259" s="13">
        <f t="shared" si="97"/>
        <v>0</v>
      </c>
      <c r="U1259" s="13">
        <f t="shared" si="98"/>
        <v>0</v>
      </c>
      <c r="V1259" s="12"/>
      <c r="W1259" s="13">
        <f t="shared" si="99"/>
        <v>0</v>
      </c>
    </row>
    <row r="1260" spans="15:23" x14ac:dyDescent="0.25">
      <c r="O1260" s="1">
        <f t="shared" si="100"/>
        <v>249</v>
      </c>
      <c r="Q1260" s="12">
        <f t="shared" si="96"/>
        <v>3.2951888064041721E-5</v>
      </c>
      <c r="S1260" s="13">
        <f t="shared" si="97"/>
        <v>0</v>
      </c>
      <c r="U1260" s="13">
        <f t="shared" si="98"/>
        <v>0</v>
      </c>
      <c r="V1260" s="12"/>
      <c r="W1260" s="13">
        <f t="shared" si="99"/>
        <v>0</v>
      </c>
    </row>
    <row r="1261" spans="15:23" x14ac:dyDescent="0.25">
      <c r="O1261" s="1">
        <f t="shared" si="100"/>
        <v>248</v>
      </c>
      <c r="Q1261" s="12">
        <f t="shared" si="96"/>
        <v>3.1178673396707E-5</v>
      </c>
      <c r="S1261" s="13">
        <f t="shared" si="97"/>
        <v>0</v>
      </c>
      <c r="U1261" s="13">
        <f t="shared" si="98"/>
        <v>0</v>
      </c>
      <c r="V1261" s="12"/>
      <c r="W1261" s="13">
        <f t="shared" si="99"/>
        <v>0</v>
      </c>
    </row>
    <row r="1262" spans="15:23" x14ac:dyDescent="0.25">
      <c r="O1262" s="1">
        <f t="shared" si="100"/>
        <v>247</v>
      </c>
      <c r="Q1262" s="12">
        <f t="shared" si="96"/>
        <v>2.9484638617957023E-5</v>
      </c>
      <c r="S1262" s="13">
        <f t="shared" si="97"/>
        <v>0</v>
      </c>
      <c r="U1262" s="13">
        <f t="shared" si="98"/>
        <v>0</v>
      </c>
      <c r="V1262" s="12"/>
      <c r="W1262" s="13">
        <f t="shared" si="99"/>
        <v>0</v>
      </c>
    </row>
    <row r="1263" spans="15:23" x14ac:dyDescent="0.25">
      <c r="O1263" s="1">
        <f t="shared" si="100"/>
        <v>246</v>
      </c>
      <c r="Q1263" s="12">
        <f t="shared" si="96"/>
        <v>2.7867134586281369E-5</v>
      </c>
      <c r="S1263" s="13">
        <f t="shared" si="97"/>
        <v>0</v>
      </c>
      <c r="U1263" s="13">
        <f t="shared" si="98"/>
        <v>0</v>
      </c>
      <c r="V1263" s="12"/>
      <c r="W1263" s="13">
        <f t="shared" si="99"/>
        <v>0</v>
      </c>
    </row>
    <row r="1264" spans="15:23" x14ac:dyDescent="0.25">
      <c r="O1264" s="1">
        <f t="shared" si="100"/>
        <v>245</v>
      </c>
      <c r="Q1264" s="12">
        <f t="shared" si="96"/>
        <v>2.6323558422585938E-5</v>
      </c>
      <c r="S1264" s="13">
        <f t="shared" si="97"/>
        <v>0</v>
      </c>
      <c r="U1264" s="13">
        <f t="shared" si="98"/>
        <v>0</v>
      </c>
      <c r="V1264" s="12"/>
      <c r="W1264" s="13">
        <f t="shared" si="99"/>
        <v>0</v>
      </c>
    </row>
    <row r="1265" spans="15:23" x14ac:dyDescent="0.25">
      <c r="O1265" s="1">
        <f t="shared" si="100"/>
        <v>244</v>
      </c>
      <c r="Q1265" s="12">
        <f t="shared" si="96"/>
        <v>2.4851354531876844E-5</v>
      </c>
      <c r="S1265" s="13">
        <f t="shared" si="97"/>
        <v>0</v>
      </c>
      <c r="U1265" s="13">
        <f t="shared" si="98"/>
        <v>0</v>
      </c>
      <c r="V1265" s="12"/>
      <c r="W1265" s="13">
        <f t="shared" si="99"/>
        <v>0</v>
      </c>
    </row>
    <row r="1266" spans="15:23" x14ac:dyDescent="0.25">
      <c r="O1266" s="1">
        <f t="shared" si="100"/>
        <v>243</v>
      </c>
      <c r="Q1266" s="12">
        <f t="shared" si="96"/>
        <v>2.3448015538603468E-5</v>
      </c>
      <c r="S1266" s="13">
        <f t="shared" si="97"/>
        <v>0</v>
      </c>
      <c r="U1266" s="13">
        <f t="shared" si="98"/>
        <v>0</v>
      </c>
      <c r="V1266" s="12"/>
      <c r="W1266" s="13">
        <f t="shared" si="99"/>
        <v>0</v>
      </c>
    </row>
    <row r="1267" spans="15:23" x14ac:dyDescent="0.25">
      <c r="O1267" s="1">
        <f t="shared" si="100"/>
        <v>242</v>
      </c>
      <c r="Q1267" s="12">
        <f t="shared" si="96"/>
        <v>2.2111083136051109E-5</v>
      </c>
      <c r="S1267" s="13">
        <f t="shared" si="97"/>
        <v>0</v>
      </c>
      <c r="U1267" s="13">
        <f t="shared" si="98"/>
        <v>0</v>
      </c>
      <c r="V1267" s="12"/>
      <c r="W1267" s="13">
        <f t="shared" si="99"/>
        <v>0</v>
      </c>
    </row>
    <row r="1268" spans="15:23" x14ac:dyDescent="0.25">
      <c r="O1268" s="1">
        <f t="shared" si="100"/>
        <v>241</v>
      </c>
      <c r="Q1268" s="12">
        <f t="shared" si="96"/>
        <v>2.0838148850338264E-5</v>
      </c>
      <c r="S1268" s="13">
        <f t="shared" si="97"/>
        <v>0</v>
      </c>
      <c r="U1268" s="13">
        <f t="shared" si="98"/>
        <v>0</v>
      </c>
      <c r="V1268" s="12"/>
      <c r="W1268" s="13">
        <f t="shared" si="99"/>
        <v>0</v>
      </c>
    </row>
    <row r="1269" spans="15:23" x14ac:dyDescent="0.25">
      <c r="O1269" s="1">
        <f t="shared" si="100"/>
        <v>240</v>
      </c>
      <c r="Q1269" s="12">
        <f t="shared" si="96"/>
        <v>1.9626854719723903E-5</v>
      </c>
      <c r="S1269" s="13">
        <f t="shared" si="97"/>
        <v>0</v>
      </c>
      <c r="U1269" s="13">
        <f t="shared" si="98"/>
        <v>0</v>
      </c>
      <c r="V1269" s="12"/>
      <c r="W1269" s="13">
        <f t="shared" si="99"/>
        <v>0</v>
      </c>
    </row>
    <row r="1270" spans="15:23" x14ac:dyDescent="0.25">
      <c r="O1270" s="1">
        <f t="shared" si="100"/>
        <v>239</v>
      </c>
      <c r="Q1270" s="12">
        <f t="shared" si="96"/>
        <v>1.8474893890065405E-5</v>
      </c>
      <c r="S1270" s="13">
        <f t="shared" si="97"/>
        <v>0</v>
      </c>
      <c r="U1270" s="13">
        <f t="shared" si="98"/>
        <v>0</v>
      </c>
      <c r="V1270" s="12"/>
      <c r="W1270" s="13">
        <f t="shared" si="99"/>
        <v>0</v>
      </c>
    </row>
    <row r="1271" spans="15:23" x14ac:dyDescent="0.25">
      <c r="O1271" s="1">
        <f t="shared" si="100"/>
        <v>238</v>
      </c>
      <c r="Q1271" s="12">
        <f t="shared" si="96"/>
        <v>1.7380011127424221E-5</v>
      </c>
      <c r="S1271" s="13">
        <f t="shared" si="97"/>
        <v>0</v>
      </c>
      <c r="U1271" s="13">
        <f t="shared" si="98"/>
        <v>0</v>
      </c>
      <c r="V1271" s="12"/>
      <c r="W1271" s="13">
        <f t="shared" si="99"/>
        <v>0</v>
      </c>
    </row>
    <row r="1272" spans="15:23" x14ac:dyDescent="0.25">
      <c r="O1272" s="1">
        <f t="shared" si="100"/>
        <v>237</v>
      </c>
      <c r="Q1272" s="12">
        <f t="shared" si="96"/>
        <v>1.6340003248948368E-5</v>
      </c>
      <c r="S1272" s="13">
        <f t="shared" si="97"/>
        <v>0</v>
      </c>
      <c r="U1272" s="13">
        <f t="shared" si="98"/>
        <v>0</v>
      </c>
      <c r="V1272" s="12"/>
      <c r="W1272" s="13">
        <f t="shared" si="99"/>
        <v>0</v>
      </c>
    </row>
    <row r="1273" spans="15:23" x14ac:dyDescent="0.25">
      <c r="O1273" s="1">
        <f t="shared" si="100"/>
        <v>236</v>
      </c>
      <c r="Q1273" s="12">
        <f t="shared" si="96"/>
        <v>1.5352719473295399E-5</v>
      </c>
      <c r="S1273" s="13">
        <f t="shared" si="97"/>
        <v>0</v>
      </c>
      <c r="U1273" s="13">
        <f t="shared" si="98"/>
        <v>0</v>
      </c>
      <c r="V1273" s="12"/>
      <c r="W1273" s="13">
        <f t="shared" si="99"/>
        <v>0</v>
      </c>
    </row>
    <row r="1274" spans="15:23" x14ac:dyDescent="0.25">
      <c r="O1274" s="1">
        <f t="shared" si="100"/>
        <v>235</v>
      </c>
      <c r="Q1274" s="12">
        <f t="shared" si="96"/>
        <v>1.4416061691995229E-5</v>
      </c>
      <c r="S1274" s="13">
        <f t="shared" si="97"/>
        <v>0</v>
      </c>
      <c r="U1274" s="13">
        <f t="shared" si="98"/>
        <v>0</v>
      </c>
      <c r="V1274" s="12"/>
      <c r="W1274" s="13">
        <f t="shared" si="99"/>
        <v>0</v>
      </c>
    </row>
    <row r="1275" spans="15:23" x14ac:dyDescent="0.25">
      <c r="O1275" s="1">
        <f t="shared" si="100"/>
        <v>234</v>
      </c>
      <c r="Q1275" s="12">
        <f t="shared" si="96"/>
        <v>1.3527984663275779E-5</v>
      </c>
      <c r="S1275" s="13">
        <f t="shared" si="97"/>
        <v>0</v>
      </c>
      <c r="U1275" s="13">
        <f t="shared" si="98"/>
        <v>0</v>
      </c>
      <c r="V1275" s="12"/>
      <c r="W1275" s="13">
        <f t="shared" si="99"/>
        <v>0</v>
      </c>
    </row>
    <row r="1276" spans="15:23" x14ac:dyDescent="0.25">
      <c r="O1276" s="1">
        <f t="shared" si="100"/>
        <v>233</v>
      </c>
      <c r="Q1276" s="12">
        <f t="shared" si="96"/>
        <v>1.2686496129991695E-5</v>
      </c>
      <c r="S1276" s="13">
        <f t="shared" si="97"/>
        <v>0</v>
      </c>
      <c r="U1276" s="13">
        <f t="shared" si="98"/>
        <v>0</v>
      </c>
      <c r="V1276" s="12"/>
      <c r="W1276" s="13">
        <f t="shared" si="99"/>
        <v>0</v>
      </c>
    </row>
    <row r="1277" spans="15:23" x14ac:dyDescent="0.25">
      <c r="O1277" s="1">
        <f t="shared" si="100"/>
        <v>232</v>
      </c>
      <c r="Q1277" s="12">
        <f t="shared" si="96"/>
        <v>1.1889656863422351E-5</v>
      </c>
      <c r="S1277" s="13">
        <f t="shared" si="97"/>
        <v>0</v>
      </c>
      <c r="U1277" s="13">
        <f t="shared" si="98"/>
        <v>0</v>
      </c>
      <c r="V1277" s="12"/>
      <c r="W1277" s="13">
        <f t="shared" si="99"/>
        <v>0</v>
      </c>
    </row>
    <row r="1278" spans="15:23" x14ac:dyDescent="0.25">
      <c r="O1278" s="1">
        <f t="shared" si="100"/>
        <v>231</v>
      </c>
      <c r="Q1278" s="12">
        <f t="shared" si="96"/>
        <v>1.1135580634801025E-5</v>
      </c>
      <c r="S1278" s="13">
        <f t="shared" si="97"/>
        <v>0</v>
      </c>
      <c r="U1278" s="13">
        <f t="shared" si="98"/>
        <v>0</v>
      </c>
      <c r="V1278" s="12"/>
      <c r="W1278" s="13">
        <f t="shared" si="99"/>
        <v>0</v>
      </c>
    </row>
    <row r="1279" spans="15:23" x14ac:dyDescent="0.25">
      <c r="O1279" s="1">
        <f t="shared" si="100"/>
        <v>230</v>
      </c>
      <c r="Q1279" s="12">
        <f t="shared" si="96"/>
        <v>1.042243411655699E-5</v>
      </c>
      <c r="S1279" s="13">
        <f t="shared" si="97"/>
        <v>0</v>
      </c>
      <c r="U1279" s="13">
        <f t="shared" si="98"/>
        <v>0</v>
      </c>
      <c r="V1279" s="12"/>
      <c r="W1279" s="13">
        <f t="shared" si="99"/>
        <v>0</v>
      </c>
    </row>
    <row r="1280" spans="15:23" x14ac:dyDescent="0.25">
      <c r="O1280" s="1">
        <f t="shared" si="100"/>
        <v>229</v>
      </c>
      <c r="Q1280" s="12">
        <f t="shared" si="96"/>
        <v>9.7484367153366948E-6</v>
      </c>
      <c r="S1280" s="13">
        <f t="shared" si="97"/>
        <v>0</v>
      </c>
      <c r="U1280" s="13">
        <f t="shared" si="98"/>
        <v>0</v>
      </c>
      <c r="V1280" s="12"/>
      <c r="W1280" s="13">
        <f t="shared" si="99"/>
        <v>0</v>
      </c>
    </row>
    <row r="1281" spans="15:23" x14ac:dyDescent="0.25">
      <c r="O1281" s="1">
        <f t="shared" si="100"/>
        <v>228</v>
      </c>
      <c r="Q1281" s="12">
        <f t="shared" si="96"/>
        <v>9.111860338973101E-6</v>
      </c>
      <c r="S1281" s="13">
        <f t="shared" si="97"/>
        <v>0</v>
      </c>
      <c r="U1281" s="13">
        <f t="shared" si="98"/>
        <v>0</v>
      </c>
      <c r="V1281" s="12"/>
      <c r="W1281" s="13">
        <f t="shared" si="99"/>
        <v>0</v>
      </c>
    </row>
    <row r="1282" spans="15:23" x14ac:dyDescent="0.25">
      <c r="O1282" s="1">
        <f t="shared" si="100"/>
        <v>227</v>
      </c>
      <c r="Q1282" s="12">
        <f t="shared" si="96"/>
        <v>8.5110290996496295E-6</v>
      </c>
      <c r="S1282" s="13">
        <f t="shared" si="97"/>
        <v>0</v>
      </c>
      <c r="U1282" s="13">
        <f t="shared" si="98"/>
        <v>0</v>
      </c>
      <c r="V1282" s="12"/>
      <c r="W1282" s="13">
        <f t="shared" si="99"/>
        <v>0</v>
      </c>
    </row>
    <row r="1283" spans="15:23" x14ac:dyDescent="0.25">
      <c r="O1283" s="1">
        <f t="shared" si="100"/>
        <v>226</v>
      </c>
      <c r="Q1283" s="12">
        <f t="shared" si="96"/>
        <v>7.9443189555891679E-6</v>
      </c>
      <c r="S1283" s="13">
        <f t="shared" si="97"/>
        <v>0</v>
      </c>
      <c r="U1283" s="13">
        <f t="shared" si="98"/>
        <v>0</v>
      </c>
      <c r="V1283" s="12"/>
      <c r="W1283" s="13">
        <f t="shared" si="99"/>
        <v>0</v>
      </c>
    </row>
    <row r="1284" spans="15:23" x14ac:dyDescent="0.25">
      <c r="O1284" s="1">
        <f t="shared" si="100"/>
        <v>225</v>
      </c>
      <c r="Q1284" s="12">
        <f t="shared" si="96"/>
        <v>7.4101572936679962E-6</v>
      </c>
      <c r="S1284" s="13">
        <f t="shared" si="97"/>
        <v>0</v>
      </c>
      <c r="U1284" s="13">
        <f t="shared" si="98"/>
        <v>0</v>
      </c>
      <c r="V1284" s="12"/>
      <c r="W1284" s="13">
        <f t="shared" si="99"/>
        <v>0</v>
      </c>
    </row>
    <row r="1285" spans="15:23" x14ac:dyDescent="0.25">
      <c r="O1285" s="1">
        <f t="shared" si="100"/>
        <v>224</v>
      </c>
      <c r="Q1285" s="12">
        <f t="shared" si="96"/>
        <v>6.9070224554209863E-6</v>
      </c>
      <c r="S1285" s="13">
        <f t="shared" si="97"/>
        <v>0</v>
      </c>
      <c r="U1285" s="13">
        <f t="shared" si="98"/>
        <v>0</v>
      </c>
      <c r="V1285" s="12"/>
      <c r="W1285" s="13">
        <f t="shared" si="99"/>
        <v>0</v>
      </c>
    </row>
    <row r="1286" spans="15:23" x14ac:dyDescent="0.25">
      <c r="O1286" s="1">
        <f t="shared" si="100"/>
        <v>223</v>
      </c>
      <c r="Q1286" s="12">
        <f t="shared" si="96"/>
        <v>6.4334432089610251E-6</v>
      </c>
      <c r="S1286" s="13">
        <f t="shared" si="97"/>
        <v>0</v>
      </c>
      <c r="U1286" s="13">
        <f t="shared" si="98"/>
        <v>0</v>
      </c>
      <c r="V1286" s="12"/>
      <c r="W1286" s="13">
        <f t="shared" si="99"/>
        <v>0</v>
      </c>
    </row>
    <row r="1287" spans="15:23" x14ac:dyDescent="0.25">
      <c r="O1287" s="1">
        <f t="shared" si="100"/>
        <v>222</v>
      </c>
      <c r="Q1287" s="12">
        <f t="shared" si="96"/>
        <v>5.9879981693879095E-6</v>
      </c>
      <c r="S1287" s="13">
        <f t="shared" si="97"/>
        <v>0</v>
      </c>
      <c r="U1287" s="13">
        <f t="shared" si="98"/>
        <v>0</v>
      </c>
      <c r="V1287" s="12"/>
      <c r="W1287" s="13">
        <f t="shared" si="99"/>
        <v>0</v>
      </c>
    </row>
    <row r="1288" spans="15:23" x14ac:dyDescent="0.25">
      <c r="O1288" s="1">
        <f t="shared" si="100"/>
        <v>221</v>
      </c>
      <c r="Q1288" s="12">
        <f t="shared" si="96"/>
        <v>5.5693151703053325E-6</v>
      </c>
      <c r="S1288" s="13">
        <f t="shared" si="97"/>
        <v>0</v>
      </c>
      <c r="U1288" s="13">
        <f t="shared" si="98"/>
        <v>0</v>
      </c>
      <c r="V1288" s="12"/>
      <c r="W1288" s="13">
        <f t="shared" si="99"/>
        <v>0</v>
      </c>
    </row>
    <row r="1289" spans="15:23" x14ac:dyDescent="0.25">
      <c r="O1289" s="1">
        <f t="shared" si="100"/>
        <v>220</v>
      </c>
      <c r="Q1289" s="12">
        <f t="shared" si="96"/>
        <v>5.1760705891005515E-6</v>
      </c>
      <c r="S1289" s="13">
        <f t="shared" si="97"/>
        <v>0</v>
      </c>
      <c r="U1289" s="13">
        <f t="shared" si="98"/>
        <v>0</v>
      </c>
      <c r="V1289" s="12"/>
      <c r="W1289" s="13">
        <f t="shared" si="99"/>
        <v>0</v>
      </c>
    </row>
    <row r="1290" spans="15:23" x14ac:dyDescent="0.25">
      <c r="O1290" s="1">
        <f t="shared" si="100"/>
        <v>219</v>
      </c>
      <c r="Q1290" s="12">
        <f t="shared" ref="Q1290:Q1353" si="101">_xlfn.LOGNORM.DIST(O1290,$D$25,$D$26,FALSE)</f>
        <v>4.8069886286705881E-6</v>
      </c>
      <c r="S1290" s="13">
        <f t="shared" ref="S1290:S1353" si="102">IF(O1290&gt;$D$6,O1290*Q1290,0)</f>
        <v>0</v>
      </c>
      <c r="U1290" s="13">
        <f t="shared" ref="U1290:U1353" si="103">IF(O1290&gt;$D$6,$D$6*Q1290,0)</f>
        <v>0</v>
      </c>
      <c r="V1290" s="12"/>
      <c r="W1290" s="13">
        <f t="shared" ref="W1290:W1353" si="104">(S1290-U1290)*EXP(-$D$9*$D$7)</f>
        <v>0</v>
      </c>
    </row>
    <row r="1291" spans="15:23" x14ac:dyDescent="0.25">
      <c r="O1291" s="1">
        <f t="shared" ref="O1291:O1354" si="105">O1290-1</f>
        <v>218</v>
      </c>
      <c r="Q1291" s="12">
        <f t="shared" si="101"/>
        <v>4.4608405583029097E-6</v>
      </c>
      <c r="S1291" s="13">
        <f t="shared" si="102"/>
        <v>0</v>
      </c>
      <c r="U1291" s="13">
        <f t="shared" si="103"/>
        <v>0</v>
      </c>
      <c r="V1291" s="12"/>
      <c r="W1291" s="13">
        <f t="shared" si="104"/>
        <v>0</v>
      </c>
    </row>
    <row r="1292" spans="15:23" x14ac:dyDescent="0.25">
      <c r="O1292" s="1">
        <f t="shared" si="105"/>
        <v>217</v>
      </c>
      <c r="Q1292" s="12">
        <f t="shared" si="101"/>
        <v>4.1364439164296291E-6</v>
      </c>
      <c r="S1292" s="13">
        <f t="shared" si="102"/>
        <v>0</v>
      </c>
      <c r="U1292" s="13">
        <f t="shared" si="103"/>
        <v>0</v>
      </c>
      <c r="V1292" s="12"/>
      <c r="W1292" s="13">
        <f t="shared" si="104"/>
        <v>0</v>
      </c>
    </row>
    <row r="1293" spans="15:23" x14ac:dyDescent="0.25">
      <c r="O1293" s="1">
        <f t="shared" si="105"/>
        <v>216</v>
      </c>
      <c r="Q1293" s="12">
        <f t="shared" si="101"/>
        <v>3.8326616779856079E-6</v>
      </c>
      <c r="S1293" s="13">
        <f t="shared" si="102"/>
        <v>0</v>
      </c>
      <c r="U1293" s="13">
        <f t="shared" si="103"/>
        <v>0</v>
      </c>
      <c r="V1293" s="12"/>
      <c r="W1293" s="13">
        <f t="shared" si="104"/>
        <v>0</v>
      </c>
    </row>
    <row r="1294" spans="15:23" x14ac:dyDescent="0.25">
      <c r="O1294" s="1">
        <f t="shared" si="105"/>
        <v>215</v>
      </c>
      <c r="Q1294" s="12">
        <f t="shared" si="101"/>
        <v>3.5484013890997344E-6</v>
      </c>
      <c r="S1294" s="13">
        <f t="shared" si="102"/>
        <v>0</v>
      </c>
      <c r="U1294" s="13">
        <f t="shared" si="103"/>
        <v>0</v>
      </c>
      <c r="V1294" s="12"/>
      <c r="W1294" s="13">
        <f t="shared" si="104"/>
        <v>0</v>
      </c>
    </row>
    <row r="1295" spans="15:23" x14ac:dyDescent="0.25">
      <c r="O1295" s="1">
        <f t="shared" si="105"/>
        <v>214</v>
      </c>
      <c r="Q1295" s="12">
        <f t="shared" si="101"/>
        <v>3.2826142718424466E-6</v>
      </c>
      <c r="S1295" s="13">
        <f t="shared" si="102"/>
        <v>0</v>
      </c>
      <c r="U1295" s="13">
        <f t="shared" si="103"/>
        <v>0</v>
      </c>
      <c r="V1295" s="12"/>
      <c r="W1295" s="13">
        <f t="shared" si="104"/>
        <v>0</v>
      </c>
    </row>
    <row r="1296" spans="15:23" x14ac:dyDescent="0.25">
      <c r="O1296" s="1">
        <f t="shared" si="105"/>
        <v>213</v>
      </c>
      <c r="Q1296" s="12">
        <f t="shared" si="101"/>
        <v>3.0342943017396269E-6</v>
      </c>
      <c r="S1296" s="13">
        <f t="shared" si="102"/>
        <v>0</v>
      </c>
      <c r="U1296" s="13">
        <f t="shared" si="103"/>
        <v>0</v>
      </c>
      <c r="V1296" s="12"/>
      <c r="W1296" s="13">
        <f t="shared" si="104"/>
        <v>0</v>
      </c>
    </row>
    <row r="1297" spans="15:23" x14ac:dyDescent="0.25">
      <c r="O1297" s="1">
        <f t="shared" si="105"/>
        <v>212</v>
      </c>
      <c r="Q1297" s="12">
        <f t="shared" si="101"/>
        <v>2.8024772607434776E-6</v>
      </c>
      <c r="S1297" s="13">
        <f t="shared" si="102"/>
        <v>0</v>
      </c>
      <c r="U1297" s="13">
        <f t="shared" si="103"/>
        <v>0</v>
      </c>
      <c r="V1297" s="12"/>
      <c r="W1297" s="13">
        <f t="shared" si="104"/>
        <v>0</v>
      </c>
    </row>
    <row r="1298" spans="15:23" x14ac:dyDescent="0.25">
      <c r="O1298" s="1">
        <f t="shared" si="105"/>
        <v>211</v>
      </c>
      <c r="Q1298" s="12">
        <f t="shared" si="101"/>
        <v>2.5862397683246395E-6</v>
      </c>
      <c r="S1298" s="13">
        <f t="shared" si="102"/>
        <v>0</v>
      </c>
      <c r="U1298" s="13">
        <f t="shared" si="103"/>
        <v>0</v>
      </c>
      <c r="V1298" s="12"/>
      <c r="W1298" s="13">
        <f t="shared" si="104"/>
        <v>0</v>
      </c>
    </row>
    <row r="1299" spans="15:23" x14ac:dyDescent="0.25">
      <c r="O1299" s="1">
        <f t="shared" si="105"/>
        <v>210</v>
      </c>
      <c r="Q1299" s="12">
        <f t="shared" si="101"/>
        <v>2.3846982933159097E-6</v>
      </c>
      <c r="S1299" s="13">
        <f t="shared" si="102"/>
        <v>0</v>
      </c>
      <c r="U1299" s="13">
        <f t="shared" si="103"/>
        <v>0</v>
      </c>
      <c r="V1299" s="12"/>
      <c r="W1299" s="13">
        <f t="shared" si="104"/>
        <v>0</v>
      </c>
    </row>
    <row r="1300" spans="15:23" x14ac:dyDescent="0.25">
      <c r="O1300" s="1">
        <f t="shared" si="105"/>
        <v>209</v>
      </c>
      <c r="Q1300" s="12">
        <f t="shared" si="101"/>
        <v>2.197008149101492E-6</v>
      </c>
      <c r="S1300" s="13">
        <f t="shared" si="102"/>
        <v>0</v>
      </c>
      <c r="U1300" s="13">
        <f t="shared" si="103"/>
        <v>0</v>
      </c>
      <c r="V1300" s="12"/>
      <c r="W1300" s="13">
        <f t="shared" si="104"/>
        <v>0</v>
      </c>
    </row>
    <row r="1301" spans="15:23" x14ac:dyDescent="0.25">
      <c r="O1301" s="1">
        <f t="shared" si="105"/>
        <v>208</v>
      </c>
      <c r="Q1301" s="12">
        <f t="shared" si="101"/>
        <v>2.0223624746985298E-6</v>
      </c>
      <c r="S1301" s="13">
        <f t="shared" si="102"/>
        <v>0</v>
      </c>
      <c r="U1301" s="13">
        <f t="shared" si="103"/>
        <v>0</v>
      </c>
      <c r="V1301" s="12"/>
      <c r="W1301" s="13">
        <f t="shared" si="104"/>
        <v>0</v>
      </c>
    </row>
    <row r="1302" spans="15:23" x14ac:dyDescent="0.25">
      <c r="O1302" s="1">
        <f t="shared" si="105"/>
        <v>207</v>
      </c>
      <c r="Q1302" s="12">
        <f t="shared" si="101"/>
        <v>1.8599912042293611E-6</v>
      </c>
      <c r="S1302" s="13">
        <f t="shared" si="102"/>
        <v>0</v>
      </c>
      <c r="U1302" s="13">
        <f t="shared" si="103"/>
        <v>0</v>
      </c>
      <c r="V1302" s="12"/>
      <c r="W1302" s="13">
        <f t="shared" si="104"/>
        <v>0</v>
      </c>
    </row>
    <row r="1303" spans="15:23" x14ac:dyDescent="0.25">
      <c r="O1303" s="1">
        <f t="shared" si="105"/>
        <v>206</v>
      </c>
      <c r="Q1303" s="12">
        <f t="shared" si="101"/>
        <v>1.7091600272257729E-6</v>
      </c>
      <c r="S1303" s="13">
        <f t="shared" si="102"/>
        <v>0</v>
      </c>
      <c r="U1303" s="13">
        <f t="shared" si="103"/>
        <v>0</v>
      </c>
      <c r="V1303" s="12"/>
      <c r="W1303" s="13">
        <f t="shared" si="104"/>
        <v>0</v>
      </c>
    </row>
    <row r="1304" spans="15:23" x14ac:dyDescent="0.25">
      <c r="O1304" s="1">
        <f t="shared" si="105"/>
        <v>205</v>
      </c>
      <c r="Q1304" s="12">
        <f t="shared" si="101"/>
        <v>1.5691693421465292E-6</v>
      </c>
      <c r="S1304" s="13">
        <f t="shared" si="102"/>
        <v>0</v>
      </c>
      <c r="U1304" s="13">
        <f t="shared" si="103"/>
        <v>0</v>
      </c>
      <c r="V1304" s="12"/>
      <c r="W1304" s="13">
        <f t="shared" si="104"/>
        <v>0</v>
      </c>
    </row>
    <row r="1305" spans="15:23" x14ac:dyDescent="0.25">
      <c r="O1305" s="1">
        <f t="shared" si="105"/>
        <v>204</v>
      </c>
      <c r="Q1305" s="12">
        <f t="shared" si="101"/>
        <v>1.4393532054236917E-6</v>
      </c>
      <c r="S1305" s="13">
        <f t="shared" si="102"/>
        <v>0</v>
      </c>
      <c r="U1305" s="13">
        <f t="shared" si="103"/>
        <v>0</v>
      </c>
      <c r="V1305" s="12"/>
      <c r="W1305" s="13">
        <f t="shared" si="104"/>
        <v>0</v>
      </c>
    </row>
    <row r="1306" spans="15:23" x14ac:dyDescent="0.25">
      <c r="O1306" s="1">
        <f t="shared" si="105"/>
        <v>203</v>
      </c>
      <c r="Q1306" s="12">
        <f t="shared" si="101"/>
        <v>1.3190782782827396E-6</v>
      </c>
      <c r="S1306" s="13">
        <f t="shared" si="102"/>
        <v>0</v>
      </c>
      <c r="U1306" s="13">
        <f t="shared" si="103"/>
        <v>0</v>
      </c>
      <c r="V1306" s="12"/>
      <c r="W1306" s="13">
        <f t="shared" si="104"/>
        <v>0</v>
      </c>
    </row>
    <row r="1307" spans="15:23" x14ac:dyDescent="0.25">
      <c r="O1307" s="1">
        <f t="shared" si="105"/>
        <v>202</v>
      </c>
      <c r="Q1307" s="12">
        <f t="shared" si="101"/>
        <v>1.207742773507317E-6</v>
      </c>
      <c r="S1307" s="13">
        <f t="shared" si="102"/>
        <v>0</v>
      </c>
      <c r="U1307" s="13">
        <f t="shared" si="103"/>
        <v>0</v>
      </c>
      <c r="V1307" s="12"/>
      <c r="W1307" s="13">
        <f t="shared" si="104"/>
        <v>0</v>
      </c>
    </row>
    <row r="1308" spans="15:23" x14ac:dyDescent="0.25">
      <c r="O1308" s="1">
        <f t="shared" si="105"/>
        <v>201</v>
      </c>
      <c r="Q1308" s="12">
        <f t="shared" si="101"/>
        <v>1.1047754042416106E-6</v>
      </c>
      <c r="S1308" s="13">
        <f t="shared" si="102"/>
        <v>0</v>
      </c>
      <c r="U1308" s="13">
        <f t="shared" si="103"/>
        <v>0</v>
      </c>
      <c r="V1308" s="12"/>
      <c r="W1308" s="13">
        <f t="shared" si="104"/>
        <v>0</v>
      </c>
    </row>
    <row r="1309" spans="15:23" x14ac:dyDescent="0.25">
      <c r="O1309" s="1">
        <f t="shared" si="105"/>
        <v>200</v>
      </c>
      <c r="Q1309" s="12">
        <f t="shared" si="101"/>
        <v>1.0096343368409238E-6</v>
      </c>
      <c r="S1309" s="13">
        <f t="shared" si="102"/>
        <v>0</v>
      </c>
      <c r="U1309" s="13">
        <f t="shared" si="103"/>
        <v>0</v>
      </c>
      <c r="V1309" s="12"/>
      <c r="W1309" s="13">
        <f t="shared" si="104"/>
        <v>0</v>
      </c>
    </row>
    <row r="1310" spans="15:23" x14ac:dyDescent="0.25">
      <c r="O1310" s="1">
        <f t="shared" si="105"/>
        <v>199</v>
      </c>
      <c r="Q1310" s="12">
        <f t="shared" si="101"/>
        <v>9.2180614969654566E-7</v>
      </c>
      <c r="S1310" s="13">
        <f t="shared" si="102"/>
        <v>0</v>
      </c>
      <c r="U1310" s="13">
        <f t="shared" si="103"/>
        <v>0</v>
      </c>
      <c r="V1310" s="12"/>
      <c r="W1310" s="13">
        <f t="shared" si="104"/>
        <v>0</v>
      </c>
    </row>
    <row r="1311" spans="15:23" x14ac:dyDescent="0.25">
      <c r="O1311" s="1">
        <f t="shared" si="105"/>
        <v>198</v>
      </c>
      <c r="Q1311" s="12">
        <f t="shared" si="101"/>
        <v>8.4080479987307964E-7</v>
      </c>
      <c r="S1311" s="13">
        <f t="shared" si="102"/>
        <v>0</v>
      </c>
      <c r="U1311" s="13">
        <f t="shared" si="103"/>
        <v>0</v>
      </c>
      <c r="V1311" s="12"/>
      <c r="W1311" s="13">
        <f t="shared" si="104"/>
        <v>0</v>
      </c>
    </row>
    <row r="1312" spans="15:23" x14ac:dyDescent="0.25">
      <c r="O1312" s="1">
        <f t="shared" si="105"/>
        <v>197</v>
      </c>
      <c r="Q1312" s="12">
        <f t="shared" si="101"/>
        <v>7.6617059930626831E-7</v>
      </c>
      <c r="S1312" s="13">
        <f t="shared" si="102"/>
        <v>0</v>
      </c>
      <c r="U1312" s="13">
        <f t="shared" si="103"/>
        <v>0</v>
      </c>
      <c r="V1312" s="12"/>
      <c r="W1312" s="13">
        <f t="shared" si="104"/>
        <v>0</v>
      </c>
    </row>
    <row r="1313" spans="15:23" x14ac:dyDescent="0.25">
      <c r="O1313" s="1">
        <f t="shared" si="105"/>
        <v>196</v>
      </c>
      <c r="Q1313" s="12">
        <f t="shared" si="101"/>
        <v>6.9746920221680219E-7</v>
      </c>
      <c r="S1313" s="13">
        <f t="shared" si="102"/>
        <v>0</v>
      </c>
      <c r="U1313" s="13">
        <f t="shared" si="103"/>
        <v>0</v>
      </c>
      <c r="V1313" s="12"/>
      <c r="W1313" s="13">
        <f t="shared" si="104"/>
        <v>0</v>
      </c>
    </row>
    <row r="1314" spans="15:23" x14ac:dyDescent="0.25">
      <c r="O1314" s="1">
        <f t="shared" si="105"/>
        <v>195</v>
      </c>
      <c r="Q1314" s="12">
        <f t="shared" si="101"/>
        <v>6.3429060530168055E-7</v>
      </c>
      <c r="S1314" s="13">
        <f t="shared" si="102"/>
        <v>0</v>
      </c>
      <c r="U1314" s="13">
        <f t="shared" si="103"/>
        <v>0</v>
      </c>
      <c r="V1314" s="12"/>
      <c r="W1314" s="13">
        <f t="shared" si="104"/>
        <v>0</v>
      </c>
    </row>
    <row r="1315" spans="15:23" x14ac:dyDescent="0.25">
      <c r="O1315" s="1">
        <f t="shared" si="105"/>
        <v>194</v>
      </c>
      <c r="Q1315" s="12">
        <f t="shared" si="101"/>
        <v>5.7624816216892123E-7</v>
      </c>
      <c r="S1315" s="13">
        <f t="shared" si="102"/>
        <v>0</v>
      </c>
      <c r="U1315" s="13">
        <f t="shared" si="103"/>
        <v>0</v>
      </c>
      <c r="V1315" s="12"/>
      <c r="W1315" s="13">
        <f t="shared" si="104"/>
        <v>0</v>
      </c>
    </row>
    <row r="1316" spans="15:23" x14ac:dyDescent="0.25">
      <c r="O1316" s="1">
        <f t="shared" si="105"/>
        <v>193</v>
      </c>
      <c r="Q1316" s="12">
        <f t="shared" si="101"/>
        <v>5.229776133852775E-7</v>
      </c>
      <c r="S1316" s="13">
        <f t="shared" si="102"/>
        <v>0</v>
      </c>
      <c r="U1316" s="13">
        <f t="shared" si="103"/>
        <v>0</v>
      </c>
      <c r="V1316" s="12"/>
      <c r="W1316" s="13">
        <f t="shared" si="104"/>
        <v>0</v>
      </c>
    </row>
    <row r="1317" spans="15:23" x14ac:dyDescent="0.25">
      <c r="O1317" s="1">
        <f t="shared" si="105"/>
        <v>192</v>
      </c>
      <c r="Q1317" s="12">
        <f t="shared" si="101"/>
        <v>4.7413613340890186E-7</v>
      </c>
      <c r="S1317" s="13">
        <f t="shared" si="102"/>
        <v>0</v>
      </c>
      <c r="U1317" s="13">
        <f t="shared" si="103"/>
        <v>0</v>
      </c>
      <c r="V1317" s="12"/>
      <c r="W1317" s="13">
        <f t="shared" si="104"/>
        <v>0</v>
      </c>
    </row>
    <row r="1318" spans="15:23" x14ac:dyDescent="0.25">
      <c r="O1318" s="1">
        <f t="shared" si="105"/>
        <v>191</v>
      </c>
      <c r="Q1318" s="12">
        <f t="shared" si="101"/>
        <v>4.2940139558168267E-7</v>
      </c>
      <c r="S1318" s="13">
        <f t="shared" si="102"/>
        <v>0</v>
      </c>
      <c r="U1318" s="13">
        <f t="shared" si="103"/>
        <v>0</v>
      </c>
      <c r="V1318" s="12"/>
      <c r="W1318" s="13">
        <f t="shared" si="104"/>
        <v>0</v>
      </c>
    </row>
    <row r="1319" spans="15:23" x14ac:dyDescent="0.25">
      <c r="O1319" s="1">
        <f t="shared" si="105"/>
        <v>190</v>
      </c>
      <c r="Q1319" s="12">
        <f t="shared" si="101"/>
        <v>3.8847065625828966E-7</v>
      </c>
      <c r="S1319" s="13">
        <f t="shared" si="102"/>
        <v>0</v>
      </c>
      <c r="U1319" s="13">
        <f t="shared" si="103"/>
        <v>0</v>
      </c>
      <c r="V1319" s="12"/>
      <c r="W1319" s="13">
        <f t="shared" si="104"/>
        <v>0</v>
      </c>
    </row>
    <row r="1320" spans="15:23" x14ac:dyDescent="0.25">
      <c r="O1320" s="1">
        <f t="shared" si="105"/>
        <v>189</v>
      </c>
      <c r="Q1320" s="12">
        <f t="shared" si="101"/>
        <v>3.510598590518149E-7</v>
      </c>
      <c r="S1320" s="13">
        <f t="shared" si="102"/>
        <v>0</v>
      </c>
      <c r="U1320" s="13">
        <f t="shared" si="103"/>
        <v>0</v>
      </c>
      <c r="V1320" s="12"/>
      <c r="W1320" s="13">
        <f t="shared" si="104"/>
        <v>0</v>
      </c>
    </row>
    <row r="1321" spans="15:23" x14ac:dyDescent="0.25">
      <c r="O1321" s="1">
        <f t="shared" si="105"/>
        <v>188</v>
      </c>
      <c r="Q1321" s="12">
        <f t="shared" si="101"/>
        <v>3.1690276007936873E-7</v>
      </c>
      <c r="S1321" s="13">
        <f t="shared" si="102"/>
        <v>0</v>
      </c>
      <c r="U1321" s="13">
        <f t="shared" si="103"/>
        <v>0</v>
      </c>
      <c r="V1321" s="12"/>
      <c r="W1321" s="13">
        <f t="shared" si="104"/>
        <v>0</v>
      </c>
    </row>
    <row r="1322" spans="15:23" x14ac:dyDescent="0.25">
      <c r="O1322" s="1">
        <f t="shared" si="105"/>
        <v>187</v>
      </c>
      <c r="Q1322" s="12">
        <f t="shared" si="101"/>
        <v>2.8575007499548911E-7</v>
      </c>
      <c r="S1322" s="13">
        <f t="shared" si="102"/>
        <v>0</v>
      </c>
      <c r="U1322" s="13">
        <f t="shared" si="103"/>
        <v>0</v>
      </c>
      <c r="V1322" s="12"/>
      <c r="W1322" s="13">
        <f t="shared" si="104"/>
        <v>0</v>
      </c>
    </row>
    <row r="1323" spans="15:23" x14ac:dyDescent="0.25">
      <c r="O1323" s="1">
        <f t="shared" si="105"/>
        <v>186</v>
      </c>
      <c r="Q1323" s="12">
        <f t="shared" si="101"/>
        <v>2.5736864850702588E-7</v>
      </c>
      <c r="S1323" s="13">
        <f t="shared" si="102"/>
        <v>0</v>
      </c>
      <c r="U1323" s="13">
        <f t="shared" si="103"/>
        <v>0</v>
      </c>
      <c r="V1323" s="12"/>
      <c r="W1323" s="13">
        <f t="shared" si="104"/>
        <v>0</v>
      </c>
    </row>
    <row r="1324" spans="15:23" x14ac:dyDescent="0.25">
      <c r="O1324" s="1">
        <f t="shared" si="105"/>
        <v>185</v>
      </c>
      <c r="Q1324" s="12">
        <f t="shared" si="101"/>
        <v>2.3154064697059574E-7</v>
      </c>
      <c r="S1324" s="13">
        <f t="shared" si="102"/>
        <v>0</v>
      </c>
      <c r="U1324" s="13">
        <f t="shared" si="103"/>
        <v>0</v>
      </c>
      <c r="V1324" s="12"/>
      <c r="W1324" s="13">
        <f t="shared" si="104"/>
        <v>0</v>
      </c>
    </row>
    <row r="1325" spans="15:23" x14ac:dyDescent="0.25">
      <c r="O1325" s="1">
        <f t="shared" si="105"/>
        <v>184</v>
      </c>
      <c r="Q1325" s="12">
        <f t="shared" si="101"/>
        <v>2.0806277458296204E-7</v>
      </c>
      <c r="S1325" s="13">
        <f t="shared" si="102"/>
        <v>0</v>
      </c>
      <c r="U1325" s="13">
        <f t="shared" si="103"/>
        <v>0</v>
      </c>
      <c r="V1325" s="12"/>
      <c r="W1325" s="13">
        <f t="shared" si="104"/>
        <v>0</v>
      </c>
    </row>
    <row r="1326" spans="15:23" x14ac:dyDescent="0.25">
      <c r="O1326" s="1">
        <f t="shared" si="105"/>
        <v>183</v>
      </c>
      <c r="Q1326" s="12">
        <f t="shared" si="101"/>
        <v>1.8674551358608905E-7</v>
      </c>
      <c r="S1326" s="13">
        <f t="shared" si="102"/>
        <v>0</v>
      </c>
      <c r="U1326" s="13">
        <f t="shared" si="103"/>
        <v>0</v>
      </c>
      <c r="V1326" s="12"/>
      <c r="W1326" s="13">
        <f t="shared" si="104"/>
        <v>0</v>
      </c>
    </row>
    <row r="1327" spans="15:23" x14ac:dyDescent="0.25">
      <c r="O1327" s="1">
        <f t="shared" si="105"/>
        <v>182</v>
      </c>
      <c r="Q1327" s="12">
        <f t="shared" si="101"/>
        <v>1.6741238882262831E-7</v>
      </c>
      <c r="S1327" s="13">
        <f t="shared" si="102"/>
        <v>0</v>
      </c>
      <c r="U1327" s="13">
        <f t="shared" si="103"/>
        <v>0</v>
      </c>
      <c r="V1327" s="12"/>
      <c r="W1327" s="13">
        <f t="shared" si="104"/>
        <v>0</v>
      </c>
    </row>
    <row r="1328" spans="15:23" x14ac:dyDescent="0.25">
      <c r="O1328" s="1">
        <f t="shared" si="105"/>
        <v>181</v>
      </c>
      <c r="Q1328" s="12">
        <f t="shared" si="101"/>
        <v>1.4989925689385403E-7</v>
      </c>
      <c r="S1328" s="13">
        <f t="shared" si="102"/>
        <v>0</v>
      </c>
      <c r="U1328" s="13">
        <f t="shared" si="103"/>
        <v>0</v>
      </c>
      <c r="V1328" s="12"/>
      <c r="W1328" s="13">
        <f t="shared" si="104"/>
        <v>0</v>
      </c>
    </row>
    <row r="1329" spans="15:23" x14ac:dyDescent="0.25">
      <c r="O1329" s="1">
        <f t="shared" si="105"/>
        <v>180</v>
      </c>
      <c r="Q1329" s="12">
        <f t="shared" si="101"/>
        <v>1.3405362009149728E-7</v>
      </c>
      <c r="S1329" s="13">
        <f t="shared" si="102"/>
        <v>0</v>
      </c>
      <c r="U1329" s="13">
        <f t="shared" si="103"/>
        <v>0</v>
      </c>
      <c r="V1329" s="12"/>
      <c r="W1329" s="13">
        <f t="shared" si="104"/>
        <v>0</v>
      </c>
    </row>
    <row r="1330" spans="15:23" x14ac:dyDescent="0.25">
      <c r="O1330" s="1">
        <f t="shared" si="105"/>
        <v>179</v>
      </c>
      <c r="Q1330" s="12">
        <f t="shared" si="101"/>
        <v>1.1973396519732666E-7</v>
      </c>
      <c r="S1330" s="13">
        <f t="shared" si="102"/>
        <v>0</v>
      </c>
      <c r="U1330" s="13">
        <f t="shared" si="103"/>
        <v>0</v>
      </c>
      <c r="V1330" s="12"/>
      <c r="W1330" s="13">
        <f t="shared" si="104"/>
        <v>0</v>
      </c>
    </row>
    <row r="1331" spans="15:23" x14ac:dyDescent="0.25">
      <c r="O1331" s="1">
        <f t="shared" si="105"/>
        <v>178</v>
      </c>
      <c r="Q1331" s="12">
        <f t="shared" si="101"/>
        <v>1.0680912716978497E-7</v>
      </c>
      <c r="S1331" s="13">
        <f t="shared" si="102"/>
        <v>0</v>
      </c>
      <c r="U1331" s="13">
        <f t="shared" si="103"/>
        <v>0</v>
      </c>
      <c r="V1331" s="12"/>
      <c r="W1331" s="13">
        <f t="shared" si="104"/>
        <v>0</v>
      </c>
    </row>
    <row r="1332" spans="15:23" x14ac:dyDescent="0.25">
      <c r="O1332" s="1">
        <f t="shared" si="105"/>
        <v>177</v>
      </c>
      <c r="Q1332" s="12">
        <f t="shared" si="101"/>
        <v>9.5157677666064388E-8</v>
      </c>
      <c r="S1332" s="13">
        <f t="shared" si="102"/>
        <v>0</v>
      </c>
      <c r="U1332" s="13">
        <f t="shared" si="103"/>
        <v>0</v>
      </c>
      <c r="V1332" s="12"/>
      <c r="W1332" s="13">
        <f t="shared" si="104"/>
        <v>0</v>
      </c>
    </row>
    <row r="1333" spans="15:23" x14ac:dyDescent="0.25">
      <c r="O1333" s="1">
        <f t="shared" si="105"/>
        <v>176</v>
      </c>
      <c r="Q1333" s="12">
        <f t="shared" si="101"/>
        <v>8.4667338280432116E-8</v>
      </c>
      <c r="S1333" s="13">
        <f t="shared" si="102"/>
        <v>0</v>
      </c>
      <c r="U1333" s="13">
        <f t="shared" si="103"/>
        <v>0</v>
      </c>
      <c r="V1333" s="12"/>
      <c r="W1333" s="13">
        <f t="shared" si="104"/>
        <v>0</v>
      </c>
    </row>
    <row r="1334" spans="15:23" x14ac:dyDescent="0.25">
      <c r="O1334" s="1">
        <f t="shared" si="105"/>
        <v>175</v>
      </c>
      <c r="Q1334" s="12">
        <f t="shared" si="101"/>
        <v>7.523441831575291E-8</v>
      </c>
      <c r="S1334" s="13">
        <f t="shared" si="102"/>
        <v>0</v>
      </c>
      <c r="U1334" s="13">
        <f t="shared" si="103"/>
        <v>0</v>
      </c>
      <c r="V1334" s="12"/>
      <c r="W1334" s="13">
        <f t="shared" si="104"/>
        <v>0</v>
      </c>
    </row>
    <row r="1335" spans="15:23" x14ac:dyDescent="0.25">
      <c r="O1335" s="1">
        <f t="shared" si="105"/>
        <v>174</v>
      </c>
      <c r="Q1335" s="12">
        <f t="shared" si="101"/>
        <v>6.6763276845015363E-8</v>
      </c>
      <c r="S1335" s="13">
        <f t="shared" si="102"/>
        <v>0</v>
      </c>
      <c r="U1335" s="13">
        <f t="shared" si="103"/>
        <v>0</v>
      </c>
      <c r="V1335" s="12"/>
      <c r="W1335" s="13">
        <f t="shared" si="104"/>
        <v>0</v>
      </c>
    </row>
    <row r="1336" spans="15:23" x14ac:dyDescent="0.25">
      <c r="O1336" s="1">
        <f t="shared" si="105"/>
        <v>173</v>
      </c>
      <c r="Q1336" s="12">
        <f t="shared" si="101"/>
        <v>5.9165808763364317E-8</v>
      </c>
      <c r="S1336" s="13">
        <f t="shared" si="102"/>
        <v>0</v>
      </c>
      <c r="U1336" s="13">
        <f t="shared" si="103"/>
        <v>0</v>
      </c>
      <c r="V1336" s="12"/>
      <c r="W1336" s="13">
        <f t="shared" si="104"/>
        <v>0</v>
      </c>
    </row>
    <row r="1337" spans="15:23" x14ac:dyDescent="0.25">
      <c r="O1337" s="1">
        <f t="shared" si="105"/>
        <v>172</v>
      </c>
      <c r="Q1337" s="12">
        <f t="shared" si="101"/>
        <v>5.2360954478662799E-8</v>
      </c>
      <c r="S1337" s="13">
        <f t="shared" si="102"/>
        <v>0</v>
      </c>
      <c r="U1337" s="13">
        <f t="shared" si="103"/>
        <v>0</v>
      </c>
      <c r="V1337" s="12"/>
      <c r="W1337" s="13">
        <f t="shared" si="104"/>
        <v>0</v>
      </c>
    </row>
    <row r="1338" spans="15:23" x14ac:dyDescent="0.25">
      <c r="O1338" s="1">
        <f t="shared" si="105"/>
        <v>171</v>
      </c>
      <c r="Q1338" s="12">
        <f t="shared" si="101"/>
        <v>4.6274232840128599E-8</v>
      </c>
      <c r="S1338" s="13">
        <f t="shared" si="102"/>
        <v>0</v>
      </c>
      <c r="U1338" s="13">
        <f t="shared" si="103"/>
        <v>0</v>
      </c>
      <c r="V1338" s="12"/>
      <c r="W1338" s="13">
        <f t="shared" si="104"/>
        <v>0</v>
      </c>
    </row>
    <row r="1339" spans="15:23" x14ac:dyDescent="0.25">
      <c r="O1339" s="1">
        <f t="shared" si="105"/>
        <v>170</v>
      </c>
      <c r="Q1339" s="12">
        <f t="shared" si="101"/>
        <v>4.0837296859961964E-8</v>
      </c>
      <c r="S1339" s="13">
        <f t="shared" si="102"/>
        <v>0</v>
      </c>
      <c r="U1339" s="13">
        <f t="shared" si="103"/>
        <v>0</v>
      </c>
      <c r="V1339" s="12"/>
      <c r="W1339" s="13">
        <f t="shared" si="104"/>
        <v>0</v>
      </c>
    </row>
    <row r="1340" spans="15:23" x14ac:dyDescent="0.25">
      <c r="O1340" s="1">
        <f t="shared" si="105"/>
        <v>169</v>
      </c>
      <c r="Q1340" s="12">
        <f t="shared" si="101"/>
        <v>3.5987511742285072E-8</v>
      </c>
      <c r="S1340" s="13">
        <f t="shared" si="102"/>
        <v>0</v>
      </c>
      <c r="U1340" s="13">
        <f t="shared" si="103"/>
        <v>0</v>
      </c>
      <c r="V1340" s="12"/>
      <c r="W1340" s="13">
        <f t="shared" si="104"/>
        <v>0</v>
      </c>
    </row>
    <row r="1341" spans="15:23" x14ac:dyDescent="0.25">
      <c r="O1341" s="1">
        <f t="shared" si="105"/>
        <v>168</v>
      </c>
      <c r="Q1341" s="12">
        <f t="shared" si="101"/>
        <v>3.1667554696941567E-8</v>
      </c>
      <c r="S1341" s="13">
        <f t="shared" si="102"/>
        <v>0</v>
      </c>
      <c r="U1341" s="13">
        <f t="shared" si="103"/>
        <v>0</v>
      </c>
      <c r="V1341" s="12"/>
      <c r="W1341" s="13">
        <f t="shared" si="104"/>
        <v>0</v>
      </c>
    </row>
    <row r="1342" spans="15:23" x14ac:dyDescent="0.25">
      <c r="O1342" s="1">
        <f t="shared" si="105"/>
        <v>167</v>
      </c>
      <c r="Q1342" s="12">
        <f t="shared" si="101"/>
        <v>2.7825035982925587E-8</v>
      </c>
      <c r="S1342" s="13">
        <f t="shared" si="102"/>
        <v>0</v>
      </c>
      <c r="U1342" s="13">
        <f t="shared" si="103"/>
        <v>0</v>
      </c>
      <c r="V1342" s="12"/>
      <c r="W1342" s="13">
        <f t="shared" si="104"/>
        <v>0</v>
      </c>
    </row>
    <row r="1343" spans="15:23" x14ac:dyDescent="0.25">
      <c r="O1343" s="1">
        <f t="shared" si="105"/>
        <v>166</v>
      </c>
      <c r="Q1343" s="12">
        <f t="shared" si="101"/>
        <v>2.4412140597189706E-8</v>
      </c>
      <c r="S1343" s="13">
        <f t="shared" si="102"/>
        <v>0</v>
      </c>
      <c r="U1343" s="13">
        <f t="shared" si="103"/>
        <v>0</v>
      </c>
      <c r="V1343" s="12"/>
      <c r="W1343" s="13">
        <f t="shared" si="104"/>
        <v>0</v>
      </c>
    </row>
    <row r="1344" spans="15:23" x14ac:dyDescent="0.25">
      <c r="O1344" s="1">
        <f t="shared" si="105"/>
        <v>165</v>
      </c>
      <c r="Q1344" s="12">
        <f t="shared" si="101"/>
        <v>2.1385289999389305E-8</v>
      </c>
      <c r="S1344" s="13">
        <f t="shared" si="102"/>
        <v>0</v>
      </c>
      <c r="U1344" s="13">
        <f t="shared" si="103"/>
        <v>0</v>
      </c>
      <c r="V1344" s="12"/>
      <c r="W1344" s="13">
        <f t="shared" si="104"/>
        <v>0</v>
      </c>
    </row>
    <row r="1345" spans="15:23" x14ac:dyDescent="0.25">
      <c r="O1345" s="1">
        <f t="shared" si="105"/>
        <v>164</v>
      </c>
      <c r="Q1345" s="12">
        <f t="shared" si="101"/>
        <v>1.870482324158379E-8</v>
      </c>
      <c r="S1345" s="13">
        <f t="shared" si="102"/>
        <v>0</v>
      </c>
      <c r="U1345" s="13">
        <f t="shared" si="103"/>
        <v>0</v>
      </c>
      <c r="V1345" s="12"/>
      <c r="W1345" s="13">
        <f t="shared" si="104"/>
        <v>0</v>
      </c>
    </row>
    <row r="1346" spans="15:23" x14ac:dyDescent="0.25">
      <c r="O1346" s="1">
        <f t="shared" si="105"/>
        <v>163</v>
      </c>
      <c r="Q1346" s="12">
        <f t="shared" si="101"/>
        <v>1.6334696853992202E-8</v>
      </c>
      <c r="S1346" s="13">
        <f t="shared" si="102"/>
        <v>0</v>
      </c>
      <c r="U1346" s="13">
        <f t="shared" si="103"/>
        <v>0</v>
      </c>
      <c r="V1346" s="12"/>
      <c r="W1346" s="13">
        <f t="shared" si="104"/>
        <v>0</v>
      </c>
    </row>
    <row r="1347" spans="15:23" x14ac:dyDescent="0.25">
      <c r="O1347" s="1">
        <f t="shared" si="105"/>
        <v>162</v>
      </c>
      <c r="Q1347" s="12">
        <f t="shared" si="101"/>
        <v>1.4242202823467785E-8</v>
      </c>
      <c r="S1347" s="13">
        <f t="shared" si="102"/>
        <v>0</v>
      </c>
      <c r="U1347" s="13">
        <f t="shared" si="103"/>
        <v>0</v>
      </c>
      <c r="V1347" s="12"/>
      <c r="W1347" s="13">
        <f t="shared" si="104"/>
        <v>0</v>
      </c>
    </row>
    <row r="1348" spans="15:23" x14ac:dyDescent="0.25">
      <c r="O1348" s="1">
        <f t="shared" si="105"/>
        <v>161</v>
      </c>
      <c r="Q1348" s="12">
        <f t="shared" si="101"/>
        <v>1.2397703990259086E-8</v>
      </c>
      <c r="S1348" s="13">
        <f t="shared" si="102"/>
        <v>0</v>
      </c>
      <c r="U1348" s="13">
        <f t="shared" si="103"/>
        <v>0</v>
      </c>
      <c r="V1348" s="12"/>
      <c r="W1348" s="13">
        <f t="shared" si="104"/>
        <v>0</v>
      </c>
    </row>
    <row r="1349" spans="15:23" x14ac:dyDescent="0.25">
      <c r="O1349" s="1">
        <f t="shared" si="105"/>
        <v>160</v>
      </c>
      <c r="Q1349" s="12">
        <f t="shared" si="101"/>
        <v>1.0774386180788092E-8</v>
      </c>
      <c r="S1349" s="13">
        <f t="shared" si="102"/>
        <v>0</v>
      </c>
      <c r="U1349" s="13">
        <f t="shared" si="103"/>
        <v>0</v>
      </c>
      <c r="V1349" s="12"/>
      <c r="W1349" s="13">
        <f t="shared" si="104"/>
        <v>0</v>
      </c>
    </row>
    <row r="1350" spans="15:23" x14ac:dyDescent="0.25">
      <c r="O1350" s="1">
        <f t="shared" si="105"/>
        <v>159</v>
      </c>
      <c r="Q1350" s="12">
        <f t="shared" si="101"/>
        <v>9.3480263894147175E-9</v>
      </c>
      <c r="S1350" s="13">
        <f t="shared" si="102"/>
        <v>0</v>
      </c>
      <c r="U1350" s="13">
        <f t="shared" si="103"/>
        <v>0</v>
      </c>
      <c r="V1350" s="12"/>
      <c r="W1350" s="13">
        <f t="shared" si="104"/>
        <v>0</v>
      </c>
    </row>
    <row r="1351" spans="15:23" x14ac:dyDescent="0.25">
      <c r="O1351" s="1">
        <f t="shared" si="105"/>
        <v>158</v>
      </c>
      <c r="Q1351" s="12">
        <f t="shared" si="101"/>
        <v>8.0967763203176696E-9</v>
      </c>
      <c r="S1351" s="13">
        <f t="shared" si="102"/>
        <v>0</v>
      </c>
      <c r="U1351" s="13">
        <f t="shared" si="103"/>
        <v>0</v>
      </c>
      <c r="V1351" s="12"/>
      <c r="W1351" s="13">
        <f t="shared" si="104"/>
        <v>0</v>
      </c>
    </row>
    <row r="1352" spans="15:23" x14ac:dyDescent="0.25">
      <c r="O1352" s="1">
        <f t="shared" si="105"/>
        <v>157</v>
      </c>
      <c r="Q1352" s="12">
        <f t="shared" si="101"/>
        <v>7.0009606015840839E-9</v>
      </c>
      <c r="S1352" s="13">
        <f t="shared" si="102"/>
        <v>0</v>
      </c>
      <c r="U1352" s="13">
        <f t="shared" si="103"/>
        <v>0</v>
      </c>
      <c r="V1352" s="12"/>
      <c r="W1352" s="13">
        <f t="shared" si="104"/>
        <v>0</v>
      </c>
    </row>
    <row r="1353" spans="15:23" x14ac:dyDescent="0.25">
      <c r="O1353" s="1">
        <f t="shared" si="105"/>
        <v>156</v>
      </c>
      <c r="Q1353" s="12">
        <f t="shared" si="101"/>
        <v>6.0428889871512572E-9</v>
      </c>
      <c r="S1353" s="13">
        <f t="shared" si="102"/>
        <v>0</v>
      </c>
      <c r="U1353" s="13">
        <f t="shared" si="103"/>
        <v>0</v>
      </c>
      <c r="V1353" s="12"/>
      <c r="W1353" s="13">
        <f t="shared" si="104"/>
        <v>0</v>
      </c>
    </row>
    <row r="1354" spans="15:23" x14ac:dyDescent="0.25">
      <c r="O1354" s="1">
        <f t="shared" si="105"/>
        <v>155</v>
      </c>
      <c r="Q1354" s="12">
        <f t="shared" ref="Q1354:Q1417" si="106">_xlfn.LOGNORM.DIST(O1354,$D$25,$D$26,FALSE)</f>
        <v>5.2066818682437234E-9</v>
      </c>
      <c r="S1354" s="13">
        <f t="shared" ref="S1354:S1417" si="107">IF(O1354&gt;$D$6,O1354*Q1354,0)</f>
        <v>0</v>
      </c>
      <c r="U1354" s="13">
        <f t="shared" ref="U1354:U1417" si="108">IF(O1354&gt;$D$6,$D$6*Q1354,0)</f>
        <v>0</v>
      </c>
      <c r="V1354" s="12"/>
      <c r="W1354" s="13">
        <f t="shared" ref="W1354:W1417" si="109">(S1354-U1354)*EXP(-$D$9*$D$7)</f>
        <v>0</v>
      </c>
    </row>
    <row r="1355" spans="15:23" x14ac:dyDescent="0.25">
      <c r="O1355" s="1">
        <f t="shared" ref="O1355:O1418" si="110">O1354-1</f>
        <v>154</v>
      </c>
      <c r="Q1355" s="12">
        <f t="shared" si="106"/>
        <v>4.4781084242176533E-9</v>
      </c>
      <c r="S1355" s="13">
        <f t="shared" si="107"/>
        <v>0</v>
      </c>
      <c r="U1355" s="13">
        <f t="shared" si="108"/>
        <v>0</v>
      </c>
      <c r="V1355" s="12"/>
      <c r="W1355" s="13">
        <f t="shared" si="109"/>
        <v>0</v>
      </c>
    </row>
    <row r="1356" spans="15:23" x14ac:dyDescent="0.25">
      <c r="O1356" s="1">
        <f t="shared" si="110"/>
        <v>153</v>
      </c>
      <c r="Q1356" s="12">
        <f t="shared" si="106"/>
        <v>3.8444367530690483E-9</v>
      </c>
      <c r="S1356" s="13">
        <f t="shared" si="107"/>
        <v>0</v>
      </c>
      <c r="U1356" s="13">
        <f t="shared" si="108"/>
        <v>0</v>
      </c>
      <c r="V1356" s="12"/>
      <c r="W1356" s="13">
        <f t="shared" si="109"/>
        <v>0</v>
      </c>
    </row>
    <row r="1357" spans="15:23" x14ac:dyDescent="0.25">
      <c r="O1357" s="1">
        <f t="shared" si="110"/>
        <v>152</v>
      </c>
      <c r="Q1357" s="12">
        <f t="shared" si="106"/>
        <v>3.2942953341293851E-9</v>
      </c>
      <c r="S1357" s="13">
        <f t="shared" si="107"/>
        <v>0</v>
      </c>
      <c r="U1357" s="13">
        <f t="shared" si="108"/>
        <v>0</v>
      </c>
      <c r="V1357" s="12"/>
      <c r="W1357" s="13">
        <f t="shared" si="109"/>
        <v>0</v>
      </c>
    </row>
    <row r="1358" spans="15:23" x14ac:dyDescent="0.25">
      <c r="O1358" s="1">
        <f t="shared" si="110"/>
        <v>151</v>
      </c>
      <c r="Q1358" s="12">
        <f t="shared" si="106"/>
        <v>2.8175451894580556E-9</v>
      </c>
      <c r="S1358" s="13">
        <f t="shared" si="107"/>
        <v>0</v>
      </c>
      <c r="U1358" s="13">
        <f t="shared" si="108"/>
        <v>0</v>
      </c>
      <c r="V1358" s="12"/>
      <c r="W1358" s="13">
        <f t="shared" si="109"/>
        <v>0</v>
      </c>
    </row>
    <row r="1359" spans="15:23" x14ac:dyDescent="0.25">
      <c r="O1359" s="1">
        <f t="shared" si="110"/>
        <v>150</v>
      </c>
      <c r="Q1359" s="12">
        <f t="shared" si="106"/>
        <v>2.4051621259865091E-9</v>
      </c>
      <c r="S1359" s="13">
        <f t="shared" si="107"/>
        <v>0</v>
      </c>
      <c r="U1359" s="13">
        <f t="shared" si="108"/>
        <v>0</v>
      </c>
      <c r="V1359" s="12"/>
      <c r="W1359" s="13">
        <f t="shared" si="109"/>
        <v>0</v>
      </c>
    </row>
    <row r="1360" spans="15:23" x14ac:dyDescent="0.25">
      <c r="O1360" s="1">
        <f t="shared" si="110"/>
        <v>149</v>
      </c>
      <c r="Q1360" s="12">
        <f t="shared" si="106"/>
        <v>2.0491284573821116E-9</v>
      </c>
      <c r="S1360" s="13">
        <f t="shared" si="107"/>
        <v>0</v>
      </c>
      <c r="U1360" s="13">
        <f t="shared" si="108"/>
        <v>0</v>
      </c>
      <c r="V1360" s="12"/>
      <c r="W1360" s="13">
        <f t="shared" si="109"/>
        <v>0</v>
      </c>
    </row>
    <row r="1361" spans="15:23" x14ac:dyDescent="0.25">
      <c r="O1361" s="1">
        <f t="shared" si="110"/>
        <v>148</v>
      </c>
      <c r="Q1361" s="12">
        <f t="shared" si="106"/>
        <v>1.7423336227183753E-9</v>
      </c>
      <c r="S1361" s="13">
        <f t="shared" si="107"/>
        <v>0</v>
      </c>
      <c r="U1361" s="13">
        <f t="shared" si="108"/>
        <v>0</v>
      </c>
      <c r="V1361" s="12"/>
      <c r="W1361" s="13">
        <f t="shared" si="109"/>
        <v>0</v>
      </c>
    </row>
    <row r="1362" spans="15:23" x14ac:dyDescent="0.25">
      <c r="O1362" s="1">
        <f t="shared" si="110"/>
        <v>147</v>
      </c>
      <c r="Q1362" s="12">
        <f t="shared" si="106"/>
        <v>1.4784831381846967E-9</v>
      </c>
      <c r="S1362" s="13">
        <f t="shared" si="107"/>
        <v>0</v>
      </c>
      <c r="U1362" s="13">
        <f t="shared" si="108"/>
        <v>0</v>
      </c>
      <c r="V1362" s="12"/>
      <c r="W1362" s="13">
        <f t="shared" si="109"/>
        <v>0</v>
      </c>
    </row>
    <row r="1363" spans="15:23" x14ac:dyDescent="0.25">
      <c r="O1363" s="1">
        <f t="shared" si="110"/>
        <v>146</v>
      </c>
      <c r="Q1363" s="12">
        <f t="shared" si="106"/>
        <v>1.252015338080134E-9</v>
      </c>
      <c r="S1363" s="13">
        <f t="shared" si="107"/>
        <v>0</v>
      </c>
      <c r="U1363" s="13">
        <f t="shared" si="108"/>
        <v>0</v>
      </c>
      <c r="V1363" s="12"/>
      <c r="W1363" s="13">
        <f t="shared" si="109"/>
        <v>0</v>
      </c>
    </row>
    <row r="1364" spans="15:23" x14ac:dyDescent="0.25">
      <c r="O1364" s="1">
        <f t="shared" si="110"/>
        <v>145</v>
      </c>
      <c r="Q1364" s="12">
        <f t="shared" si="106"/>
        <v>1.0580253820526444E-9</v>
      </c>
      <c r="S1364" s="13">
        <f t="shared" si="107"/>
        <v>0</v>
      </c>
      <c r="U1364" s="13">
        <f t="shared" si="108"/>
        <v>0</v>
      </c>
      <c r="V1364" s="12"/>
      <c r="W1364" s="13">
        <f t="shared" si="109"/>
        <v>0</v>
      </c>
    </row>
    <row r="1365" spans="15:23" x14ac:dyDescent="0.25">
      <c r="O1365" s="1">
        <f t="shared" si="110"/>
        <v>144</v>
      </c>
      <c r="Q1365" s="12">
        <f t="shared" si="106"/>
        <v>8.9219602681044075E-10</v>
      </c>
      <c r="S1365" s="13">
        <f t="shared" si="107"/>
        <v>0</v>
      </c>
      <c r="U1365" s="13">
        <f t="shared" si="108"/>
        <v>0</v>
      </c>
      <c r="V1365" s="12"/>
      <c r="W1365" s="13">
        <f t="shared" si="109"/>
        <v>0</v>
      </c>
    </row>
    <row r="1366" spans="15:23" x14ac:dyDescent="0.25">
      <c r="O1366" s="1">
        <f t="shared" si="110"/>
        <v>143</v>
      </c>
      <c r="Q1366" s="12">
        <f t="shared" si="106"/>
        <v>7.5073468220177303E-10</v>
      </c>
      <c r="S1366" s="13">
        <f t="shared" si="107"/>
        <v>0</v>
      </c>
      <c r="U1366" s="13">
        <f t="shared" si="108"/>
        <v>0</v>
      </c>
      <c r="V1366" s="12"/>
      <c r="W1366" s="13">
        <f t="shared" si="109"/>
        <v>0</v>
      </c>
    </row>
    <row r="1367" spans="15:23" x14ac:dyDescent="0.25">
      <c r="O1367" s="1">
        <f t="shared" si="110"/>
        <v>142</v>
      </c>
      <c r="Q1367" s="12">
        <f t="shared" si="106"/>
        <v>6.3031629349151051E-10</v>
      </c>
      <c r="S1367" s="13">
        <f t="shared" si="107"/>
        <v>0</v>
      </c>
      <c r="U1367" s="13">
        <f t="shared" si="108"/>
        <v>0</v>
      </c>
      <c r="V1367" s="12"/>
      <c r="W1367" s="13">
        <f t="shared" si="109"/>
        <v>0</v>
      </c>
    </row>
    <row r="1368" spans="15:23" x14ac:dyDescent="0.25">
      <c r="O1368" s="1">
        <f t="shared" si="110"/>
        <v>141</v>
      </c>
      <c r="Q1368" s="12">
        <f t="shared" si="106"/>
        <v>5.280316137247785E-10</v>
      </c>
      <c r="S1368" s="13">
        <f t="shared" si="107"/>
        <v>0</v>
      </c>
      <c r="U1368" s="13">
        <f t="shared" si="108"/>
        <v>0</v>
      </c>
      <c r="V1368" s="12"/>
      <c r="W1368" s="13">
        <f t="shared" si="109"/>
        <v>0</v>
      </c>
    </row>
    <row r="1369" spans="15:23" x14ac:dyDescent="0.25">
      <c r="O1369" s="1">
        <f t="shared" si="110"/>
        <v>140</v>
      </c>
      <c r="Q1369" s="12">
        <f t="shared" si="106"/>
        <v>4.4134045213804965E-10</v>
      </c>
      <c r="S1369" s="13">
        <f t="shared" si="107"/>
        <v>0</v>
      </c>
      <c r="U1369" s="13">
        <f t="shared" si="108"/>
        <v>0</v>
      </c>
      <c r="V1369" s="12"/>
      <c r="W1369" s="13">
        <f t="shared" si="109"/>
        <v>0</v>
      </c>
    </row>
    <row r="1370" spans="15:23" x14ac:dyDescent="0.25">
      <c r="O1370" s="1">
        <f t="shared" si="110"/>
        <v>139</v>
      </c>
      <c r="Q1370" s="12">
        <f t="shared" si="106"/>
        <v>3.6802950653846199E-10</v>
      </c>
      <c r="S1370" s="13">
        <f t="shared" si="107"/>
        <v>0</v>
      </c>
      <c r="U1370" s="13">
        <f t="shared" si="108"/>
        <v>0</v>
      </c>
      <c r="V1370" s="12"/>
      <c r="W1370" s="13">
        <f t="shared" si="109"/>
        <v>0</v>
      </c>
    </row>
    <row r="1371" spans="15:23" x14ac:dyDescent="0.25">
      <c r="O1371" s="1">
        <f t="shared" si="110"/>
        <v>138</v>
      </c>
      <c r="Q1371" s="12">
        <f t="shared" si="106"/>
        <v>3.0617440931826647E-10</v>
      </c>
      <c r="S1371" s="13">
        <f t="shared" si="107"/>
        <v>0</v>
      </c>
      <c r="U1371" s="13">
        <f t="shared" si="108"/>
        <v>0</v>
      </c>
      <c r="V1371" s="12"/>
      <c r="W1371" s="13">
        <f t="shared" si="109"/>
        <v>0</v>
      </c>
    </row>
    <row r="1372" spans="15:23" x14ac:dyDescent="0.25">
      <c r="O1372" s="1">
        <f t="shared" si="110"/>
        <v>137</v>
      </c>
      <c r="Q1372" s="12">
        <f t="shared" si="106"/>
        <v>2.5410563820506468E-10</v>
      </c>
      <c r="S1372" s="13">
        <f t="shared" si="107"/>
        <v>0</v>
      </c>
      <c r="U1372" s="13">
        <f t="shared" si="108"/>
        <v>0</v>
      </c>
      <c r="V1372" s="12"/>
      <c r="W1372" s="13">
        <f t="shared" si="109"/>
        <v>0</v>
      </c>
    </row>
    <row r="1373" spans="15:23" x14ac:dyDescent="0.25">
      <c r="O1373" s="1">
        <f t="shared" si="110"/>
        <v>136</v>
      </c>
      <c r="Q1373" s="12">
        <f t="shared" si="106"/>
        <v>2.1037796388143554E-10</v>
      </c>
      <c r="S1373" s="13">
        <f t="shared" si="107"/>
        <v>0</v>
      </c>
      <c r="U1373" s="13">
        <f t="shared" si="108"/>
        <v>0</v>
      </c>
      <c r="V1373" s="12"/>
      <c r="W1373" s="13">
        <f t="shared" si="109"/>
        <v>0</v>
      </c>
    </row>
    <row r="1374" spans="15:23" x14ac:dyDescent="0.25">
      <c r="O1374" s="1">
        <f t="shared" si="110"/>
        <v>135</v>
      </c>
      <c r="Q1374" s="12">
        <f t="shared" si="106"/>
        <v>1.7374312716073641E-10</v>
      </c>
      <c r="S1374" s="13">
        <f t="shared" si="107"/>
        <v>0</v>
      </c>
      <c r="U1374" s="13">
        <f t="shared" si="108"/>
        <v>0</v>
      </c>
      <c r="V1374" s="12"/>
      <c r="W1374" s="13">
        <f t="shared" si="109"/>
        <v>0</v>
      </c>
    </row>
    <row r="1375" spans="15:23" x14ac:dyDescent="0.25">
      <c r="O1375" s="1">
        <f t="shared" si="110"/>
        <v>134</v>
      </c>
      <c r="Q1375" s="12">
        <f t="shared" si="106"/>
        <v>1.4312545840949026E-10</v>
      </c>
      <c r="S1375" s="13">
        <f t="shared" si="107"/>
        <v>0</v>
      </c>
      <c r="U1375" s="13">
        <f t="shared" si="108"/>
        <v>0</v>
      </c>
      <c r="V1375" s="12"/>
      <c r="W1375" s="13">
        <f t="shared" si="109"/>
        <v>0</v>
      </c>
    </row>
    <row r="1376" spans="15:23" x14ac:dyDescent="0.25">
      <c r="O1376" s="1">
        <f t="shared" si="110"/>
        <v>133</v>
      </c>
      <c r="Q1376" s="12">
        <f t="shared" si="106"/>
        <v>1.1760017129897157E-10</v>
      </c>
      <c r="S1376" s="13">
        <f t="shared" si="107"/>
        <v>0</v>
      </c>
      <c r="U1376" s="13">
        <f t="shared" si="108"/>
        <v>0</v>
      </c>
      <c r="V1376" s="12"/>
      <c r="W1376" s="13">
        <f t="shared" si="109"/>
        <v>0</v>
      </c>
    </row>
    <row r="1377" spans="15:23" x14ac:dyDescent="0.25">
      <c r="O1377" s="1">
        <f t="shared" si="110"/>
        <v>132</v>
      </c>
      <c r="Q1377" s="12">
        <f t="shared" si="106"/>
        <v>9.6374081697635775E-11</v>
      </c>
      <c r="S1377" s="13">
        <f t="shared" si="107"/>
        <v>0</v>
      </c>
      <c r="U1377" s="13">
        <f t="shared" si="108"/>
        <v>0</v>
      </c>
      <c r="V1377" s="12"/>
      <c r="W1377" s="13">
        <f t="shared" si="109"/>
        <v>0</v>
      </c>
    </row>
    <row r="1378" spans="15:23" x14ac:dyDescent="0.25">
      <c r="O1378" s="1">
        <f t="shared" si="110"/>
        <v>131</v>
      </c>
      <c r="Q1378" s="12">
        <f t="shared" si="106"/>
        <v>7.8768520537866001E-11</v>
      </c>
      <c r="S1378" s="13">
        <f t="shared" si="107"/>
        <v>0</v>
      </c>
      <c r="U1378" s="13">
        <f t="shared" si="108"/>
        <v>0</v>
      </c>
      <c r="V1378" s="12"/>
      <c r="W1378" s="13">
        <f t="shared" si="109"/>
        <v>0</v>
      </c>
    </row>
    <row r="1379" spans="15:23" x14ac:dyDescent="0.25">
      <c r="O1379" s="1">
        <f t="shared" si="110"/>
        <v>130</v>
      </c>
      <c r="Q1379" s="12">
        <f t="shared" si="106"/>
        <v>6.420422676916562E-11</v>
      </c>
      <c r="S1379" s="13">
        <f t="shared" si="107"/>
        <v>0</v>
      </c>
      <c r="U1379" s="13">
        <f t="shared" si="108"/>
        <v>0</v>
      </c>
      <c r="V1379" s="12"/>
      <c r="W1379" s="13">
        <f t="shared" si="109"/>
        <v>0</v>
      </c>
    </row>
    <row r="1380" spans="15:23" x14ac:dyDescent="0.25">
      <c r="O1380" s="1">
        <f t="shared" si="110"/>
        <v>129</v>
      </c>
      <c r="Q1380" s="12">
        <f t="shared" si="106"/>
        <v>5.2188023018149014E-11</v>
      </c>
      <c r="S1380" s="13">
        <f t="shared" si="107"/>
        <v>0</v>
      </c>
      <c r="U1380" s="13">
        <f t="shared" si="108"/>
        <v>0</v>
      </c>
      <c r="V1380" s="12"/>
      <c r="W1380" s="13">
        <f t="shared" si="109"/>
        <v>0</v>
      </c>
    </row>
    <row r="1381" spans="15:23" x14ac:dyDescent="0.25">
      <c r="O1381" s="1">
        <f t="shared" si="110"/>
        <v>128</v>
      </c>
      <c r="Q1381" s="12">
        <f t="shared" si="106"/>
        <v>4.2301092292677299E-11</v>
      </c>
      <c r="S1381" s="13">
        <f t="shared" si="107"/>
        <v>0</v>
      </c>
      <c r="U1381" s="13">
        <f t="shared" si="108"/>
        <v>0</v>
      </c>
      <c r="V1381" s="12"/>
      <c r="W1381" s="13">
        <f t="shared" si="109"/>
        <v>0</v>
      </c>
    </row>
    <row r="1382" spans="15:23" x14ac:dyDescent="0.25">
      <c r="O1382" s="1">
        <f t="shared" si="110"/>
        <v>127</v>
      </c>
      <c r="Q1382" s="12">
        <f t="shared" si="106"/>
        <v>3.4188688980233407E-11</v>
      </c>
      <c r="S1382" s="13">
        <f t="shared" si="107"/>
        <v>0</v>
      </c>
      <c r="U1382" s="13">
        <f t="shared" si="108"/>
        <v>0</v>
      </c>
      <c r="V1382" s="12"/>
      <c r="W1382" s="13">
        <f t="shared" si="109"/>
        <v>0</v>
      </c>
    </row>
    <row r="1383" spans="15:23" x14ac:dyDescent="0.25">
      <c r="O1383" s="1">
        <f t="shared" si="110"/>
        <v>126</v>
      </c>
      <c r="Q1383" s="12">
        <f t="shared" si="106"/>
        <v>2.7551131492361021E-11</v>
      </c>
      <c r="S1383" s="13">
        <f t="shared" si="107"/>
        <v>0</v>
      </c>
      <c r="U1383" s="13">
        <f t="shared" si="108"/>
        <v>0</v>
      </c>
      <c r="V1383" s="12"/>
      <c r="W1383" s="13">
        <f t="shared" si="109"/>
        <v>0</v>
      </c>
    </row>
    <row r="1384" spans="15:23" x14ac:dyDescent="0.25">
      <c r="O1384" s="1">
        <f t="shared" si="110"/>
        <v>125</v>
      </c>
      <c r="Q1384" s="12">
        <f t="shared" si="106"/>
        <v>2.2135937197127461E-11</v>
      </c>
      <c r="S1384" s="13">
        <f t="shared" si="107"/>
        <v>0</v>
      </c>
      <c r="U1384" s="13">
        <f t="shared" si="108"/>
        <v>0</v>
      </c>
      <c r="V1384" s="12"/>
      <c r="W1384" s="13">
        <f t="shared" si="109"/>
        <v>0</v>
      </c>
    </row>
    <row r="1385" spans="15:23" x14ac:dyDescent="0.25">
      <c r="O1385" s="1">
        <f t="shared" si="110"/>
        <v>124</v>
      </c>
      <c r="Q1385" s="12">
        <f t="shared" si="106"/>
        <v>1.7730972765090577E-11</v>
      </c>
      <c r="S1385" s="13">
        <f t="shared" si="107"/>
        <v>0</v>
      </c>
      <c r="U1385" s="13">
        <f t="shared" si="108"/>
        <v>0</v>
      </c>
      <c r="V1385" s="12"/>
      <c r="W1385" s="13">
        <f t="shared" si="109"/>
        <v>0</v>
      </c>
    </row>
    <row r="1386" spans="15:23" x14ac:dyDescent="0.25">
      <c r="O1386" s="1">
        <f t="shared" si="110"/>
        <v>123</v>
      </c>
      <c r="Q1386" s="12">
        <f t="shared" si="106"/>
        <v>1.4158504741332238E-11</v>
      </c>
      <c r="S1386" s="13">
        <f t="shared" si="107"/>
        <v>0</v>
      </c>
      <c r="U1386" s="13">
        <f t="shared" si="108"/>
        <v>0</v>
      </c>
      <c r="V1386" s="12"/>
      <c r="W1386" s="13">
        <f t="shared" si="109"/>
        <v>0</v>
      </c>
    </row>
    <row r="1387" spans="15:23" x14ac:dyDescent="0.25">
      <c r="O1387" s="1">
        <f t="shared" si="110"/>
        <v>122</v>
      </c>
      <c r="Q1387" s="12">
        <f t="shared" si="106"/>
        <v>1.1270046061363918E-11</v>
      </c>
      <c r="S1387" s="13">
        <f t="shared" si="107"/>
        <v>0</v>
      </c>
      <c r="U1387" s="13">
        <f t="shared" si="108"/>
        <v>0</v>
      </c>
      <c r="V1387" s="12"/>
      <c r="W1387" s="13">
        <f t="shared" si="109"/>
        <v>0</v>
      </c>
    </row>
    <row r="1388" spans="15:23" x14ac:dyDescent="0.25">
      <c r="O1388" s="1">
        <f t="shared" si="110"/>
        <v>121</v>
      </c>
      <c r="Q1388" s="12">
        <f t="shared" si="106"/>
        <v>8.941904370904713E-12</v>
      </c>
      <c r="S1388" s="13">
        <f t="shared" si="107"/>
        <v>0</v>
      </c>
      <c r="U1388" s="13">
        <f t="shared" si="108"/>
        <v>0</v>
      </c>
      <c r="V1388" s="12"/>
      <c r="W1388" s="13">
        <f t="shared" si="109"/>
        <v>0</v>
      </c>
    </row>
    <row r="1389" spans="15:23" x14ac:dyDescent="0.25">
      <c r="O1389" s="1">
        <f t="shared" si="110"/>
        <v>120</v>
      </c>
      <c r="Q1389" s="12">
        <f t="shared" si="106"/>
        <v>7.071347410932134E-12</v>
      </c>
      <c r="S1389" s="13">
        <f t="shared" si="107"/>
        <v>0</v>
      </c>
      <c r="U1389" s="13">
        <f t="shared" si="108"/>
        <v>0</v>
      </c>
      <c r="V1389" s="12"/>
      <c r="W1389" s="13">
        <f t="shared" si="109"/>
        <v>0</v>
      </c>
    </row>
    <row r="1390" spans="15:23" x14ac:dyDescent="0.25">
      <c r="O1390" s="1">
        <f t="shared" si="110"/>
        <v>119</v>
      </c>
      <c r="Q1390" s="12">
        <f t="shared" si="106"/>
        <v>5.5733094152951252E-12</v>
      </c>
      <c r="S1390" s="13">
        <f t="shared" si="107"/>
        <v>0</v>
      </c>
      <c r="U1390" s="13">
        <f t="shared" si="108"/>
        <v>0</v>
      </c>
      <c r="V1390" s="12"/>
      <c r="W1390" s="13">
        <f t="shared" si="109"/>
        <v>0</v>
      </c>
    </row>
    <row r="1391" spans="15:23" x14ac:dyDescent="0.25">
      <c r="O1391" s="1">
        <f t="shared" si="110"/>
        <v>118</v>
      </c>
      <c r="Q1391" s="12">
        <f t="shared" si="106"/>
        <v>4.3775704664443709E-12</v>
      </c>
      <c r="S1391" s="13">
        <f t="shared" si="107"/>
        <v>0</v>
      </c>
      <c r="U1391" s="13">
        <f t="shared" si="108"/>
        <v>0</v>
      </c>
      <c r="V1391" s="12"/>
      <c r="W1391" s="13">
        <f t="shared" si="109"/>
        <v>0</v>
      </c>
    </row>
    <row r="1392" spans="15:23" x14ac:dyDescent="0.25">
      <c r="O1392" s="1">
        <f t="shared" si="110"/>
        <v>117</v>
      </c>
      <c r="Q1392" s="12">
        <f t="shared" si="106"/>
        <v>3.4263480953595502E-12</v>
      </c>
      <c r="S1392" s="13">
        <f t="shared" si="107"/>
        <v>0</v>
      </c>
      <c r="U1392" s="13">
        <f t="shared" si="108"/>
        <v>0</v>
      </c>
      <c r="V1392" s="12"/>
      <c r="W1392" s="13">
        <f t="shared" si="109"/>
        <v>0</v>
      </c>
    </row>
    <row r="1393" spans="15:23" x14ac:dyDescent="0.25">
      <c r="O1393" s="1">
        <f t="shared" si="110"/>
        <v>116</v>
      </c>
      <c r="Q1393" s="12">
        <f t="shared" si="106"/>
        <v>2.6722471260767484E-12</v>
      </c>
      <c r="S1393" s="13">
        <f t="shared" si="107"/>
        <v>0</v>
      </c>
      <c r="U1393" s="13">
        <f t="shared" si="108"/>
        <v>0</v>
      </c>
      <c r="V1393" s="12"/>
      <c r="W1393" s="13">
        <f t="shared" si="109"/>
        <v>0</v>
      </c>
    </row>
    <row r="1394" spans="15:23" x14ac:dyDescent="0.25">
      <c r="O1394" s="1">
        <f t="shared" si="110"/>
        <v>115</v>
      </c>
      <c r="Q1394" s="12">
        <f t="shared" si="106"/>
        <v>2.0765198860662384E-12</v>
      </c>
      <c r="S1394" s="13">
        <f t="shared" si="107"/>
        <v>0</v>
      </c>
      <c r="U1394" s="13">
        <f t="shared" si="108"/>
        <v>0</v>
      </c>
      <c r="V1394" s="12"/>
      <c r="W1394" s="13">
        <f t="shared" si="109"/>
        <v>0</v>
      </c>
    </row>
    <row r="1395" spans="15:23" x14ac:dyDescent="0.25">
      <c r="O1395" s="1">
        <f t="shared" si="110"/>
        <v>114</v>
      </c>
      <c r="Q1395" s="12">
        <f t="shared" si="106"/>
        <v>1.6075944645743914E-12</v>
      </c>
      <c r="S1395" s="13">
        <f t="shared" si="107"/>
        <v>0</v>
      </c>
      <c r="U1395" s="13">
        <f t="shared" si="108"/>
        <v>0</v>
      </c>
      <c r="V1395" s="12"/>
      <c r="W1395" s="13">
        <f t="shared" si="109"/>
        <v>0</v>
      </c>
    </row>
    <row r="1396" spans="15:23" x14ac:dyDescent="0.25">
      <c r="O1396" s="1">
        <f t="shared" si="110"/>
        <v>113</v>
      </c>
      <c r="Q1396" s="12">
        <f t="shared" si="106"/>
        <v>1.2398337358538158E-12</v>
      </c>
      <c r="S1396" s="13">
        <f t="shared" si="107"/>
        <v>0</v>
      </c>
      <c r="U1396" s="13">
        <f t="shared" si="108"/>
        <v>0</v>
      </c>
      <c r="V1396" s="12"/>
      <c r="W1396" s="13">
        <f t="shared" si="109"/>
        <v>0</v>
      </c>
    </row>
    <row r="1397" spans="15:23" x14ac:dyDescent="0.25">
      <c r="O1397" s="1">
        <f t="shared" si="110"/>
        <v>112</v>
      </c>
      <c r="Q1397" s="12">
        <f t="shared" si="106"/>
        <v>9.5249240694744966E-13</v>
      </c>
      <c r="S1397" s="13">
        <f t="shared" si="107"/>
        <v>0</v>
      </c>
      <c r="U1397" s="13">
        <f t="shared" si="108"/>
        <v>0</v>
      </c>
      <c r="V1397" s="12"/>
      <c r="W1397" s="13">
        <f t="shared" si="109"/>
        <v>0</v>
      </c>
    </row>
    <row r="1398" spans="15:23" x14ac:dyDescent="0.25">
      <c r="O1398" s="1">
        <f t="shared" si="110"/>
        <v>111</v>
      </c>
      <c r="Q1398" s="12">
        <f t="shared" si="106"/>
        <v>7.2884343413777851E-13</v>
      </c>
      <c r="S1398" s="13">
        <f t="shared" si="107"/>
        <v>0</v>
      </c>
      <c r="U1398" s="13">
        <f t="shared" si="108"/>
        <v>0</v>
      </c>
      <c r="V1398" s="12"/>
      <c r="W1398" s="13">
        <f t="shared" si="109"/>
        <v>0</v>
      </c>
    </row>
    <row r="1399" spans="15:23" x14ac:dyDescent="0.25">
      <c r="O1399" s="1">
        <f t="shared" si="110"/>
        <v>110</v>
      </c>
      <c r="Q1399" s="12">
        <f t="shared" si="106"/>
        <v>5.5544881156372671E-13</v>
      </c>
      <c r="S1399" s="13">
        <f t="shared" si="107"/>
        <v>0</v>
      </c>
      <c r="U1399" s="13">
        <f t="shared" si="108"/>
        <v>0</v>
      </c>
      <c r="V1399" s="12"/>
      <c r="W1399" s="13">
        <f t="shared" si="109"/>
        <v>0</v>
      </c>
    </row>
    <row r="1400" spans="15:23" x14ac:dyDescent="0.25">
      <c r="O1400" s="1">
        <f t="shared" si="110"/>
        <v>109</v>
      </c>
      <c r="Q1400" s="12">
        <f t="shared" si="106"/>
        <v>4.2155300235285237E-13</v>
      </c>
      <c r="S1400" s="13">
        <f t="shared" si="107"/>
        <v>0</v>
      </c>
      <c r="U1400" s="13">
        <f t="shared" si="108"/>
        <v>0</v>
      </c>
      <c r="V1400" s="12"/>
      <c r="W1400" s="13">
        <f t="shared" si="109"/>
        <v>0</v>
      </c>
    </row>
    <row r="1401" spans="15:23" x14ac:dyDescent="0.25">
      <c r="O1401" s="1">
        <f t="shared" si="110"/>
        <v>108</v>
      </c>
      <c r="Q1401" s="12">
        <f t="shared" si="106"/>
        <v>3.1858018844862147E-13</v>
      </c>
      <c r="S1401" s="13">
        <f t="shared" si="107"/>
        <v>0</v>
      </c>
      <c r="U1401" s="13">
        <f t="shared" si="108"/>
        <v>0</v>
      </c>
      <c r="V1401" s="12"/>
      <c r="W1401" s="13">
        <f t="shared" si="109"/>
        <v>0</v>
      </c>
    </row>
    <row r="1402" spans="15:23" x14ac:dyDescent="0.25">
      <c r="O1402" s="1">
        <f t="shared" si="110"/>
        <v>107</v>
      </c>
      <c r="Q1402" s="12">
        <f t="shared" si="106"/>
        <v>2.397190905319815E-13</v>
      </c>
      <c r="S1402" s="13">
        <f t="shared" si="107"/>
        <v>0</v>
      </c>
      <c r="U1402" s="13">
        <f t="shared" si="108"/>
        <v>0</v>
      </c>
      <c r="V1402" s="12"/>
      <c r="W1402" s="13">
        <f t="shared" si="109"/>
        <v>0</v>
      </c>
    </row>
    <row r="1403" spans="15:23" x14ac:dyDescent="0.25">
      <c r="O1403" s="1">
        <f t="shared" si="110"/>
        <v>106</v>
      </c>
      <c r="Q1403" s="12">
        <f t="shared" si="106"/>
        <v>1.7958138315444174E-13</v>
      </c>
      <c r="S1403" s="13">
        <f t="shared" si="107"/>
        <v>0</v>
      </c>
      <c r="U1403" s="13">
        <f t="shared" si="108"/>
        <v>0</v>
      </c>
      <c r="V1403" s="12"/>
      <c r="W1403" s="13">
        <f t="shared" si="109"/>
        <v>0</v>
      </c>
    </row>
    <row r="1404" spans="15:23" x14ac:dyDescent="0.25">
      <c r="O1404" s="1">
        <f t="shared" si="110"/>
        <v>105</v>
      </c>
      <c r="Q1404" s="12">
        <f t="shared" si="106"/>
        <v>1.3392173012010194E-13</v>
      </c>
      <c r="S1404" s="13">
        <f t="shared" si="107"/>
        <v>0</v>
      </c>
      <c r="U1404" s="13">
        <f t="shared" si="108"/>
        <v>0</v>
      </c>
      <c r="V1404" s="12"/>
      <c r="W1404" s="13">
        <f t="shared" si="109"/>
        <v>0</v>
      </c>
    </row>
    <row r="1405" spans="15:23" x14ac:dyDescent="0.25">
      <c r="O1405" s="1">
        <f t="shared" si="110"/>
        <v>104</v>
      </c>
      <c r="Q1405" s="12">
        <f t="shared" si="106"/>
        <v>9.9409217493042936E-14</v>
      </c>
      <c r="S1405" s="13">
        <f t="shared" si="107"/>
        <v>0</v>
      </c>
      <c r="U1405" s="13">
        <f t="shared" si="108"/>
        <v>0</v>
      </c>
      <c r="V1405" s="12"/>
      <c r="W1405" s="13">
        <f t="shared" si="109"/>
        <v>0</v>
      </c>
    </row>
    <row r="1406" spans="15:23" x14ac:dyDescent="0.25">
      <c r="O1406" s="1">
        <f t="shared" si="110"/>
        <v>103</v>
      </c>
      <c r="Q1406" s="12">
        <f t="shared" si="106"/>
        <v>7.3441491017950843E-14</v>
      </c>
      <c r="S1406" s="13">
        <f t="shared" si="107"/>
        <v>0</v>
      </c>
      <c r="U1406" s="13">
        <f t="shared" si="108"/>
        <v>0</v>
      </c>
      <c r="V1406" s="12"/>
      <c r="W1406" s="13">
        <f t="shared" si="109"/>
        <v>0</v>
      </c>
    </row>
    <row r="1407" spans="15:23" x14ac:dyDescent="0.25">
      <c r="O1407" s="1">
        <f t="shared" si="110"/>
        <v>102</v>
      </c>
      <c r="Q1407" s="12">
        <f t="shared" si="106"/>
        <v>5.3994234290180294E-14</v>
      </c>
      <c r="S1407" s="13">
        <f t="shared" si="107"/>
        <v>0</v>
      </c>
      <c r="U1407" s="13">
        <f t="shared" si="108"/>
        <v>0</v>
      </c>
      <c r="V1407" s="12"/>
      <c r="W1407" s="13">
        <f t="shared" si="109"/>
        <v>0</v>
      </c>
    </row>
    <row r="1408" spans="15:23" x14ac:dyDescent="0.25">
      <c r="O1408" s="1">
        <f t="shared" si="110"/>
        <v>101</v>
      </c>
      <c r="Q1408" s="12">
        <f t="shared" si="106"/>
        <v>3.9499775147753065E-14</v>
      </c>
      <c r="S1408" s="13">
        <f t="shared" si="107"/>
        <v>0</v>
      </c>
      <c r="U1408" s="13">
        <f t="shared" si="108"/>
        <v>0</v>
      </c>
      <c r="V1408" s="12"/>
      <c r="W1408" s="13">
        <f t="shared" si="109"/>
        <v>0</v>
      </c>
    </row>
    <row r="1409" spans="15:23" x14ac:dyDescent="0.25">
      <c r="O1409" s="1">
        <f t="shared" si="110"/>
        <v>100</v>
      </c>
      <c r="Q1409" s="12">
        <f t="shared" si="106"/>
        <v>2.8749600327781602E-14</v>
      </c>
      <c r="S1409" s="13">
        <f t="shared" si="107"/>
        <v>0</v>
      </c>
      <c r="U1409" s="13">
        <f t="shared" si="108"/>
        <v>0</v>
      </c>
      <c r="V1409" s="12"/>
      <c r="W1409" s="13">
        <f t="shared" si="109"/>
        <v>0</v>
      </c>
    </row>
    <row r="1410" spans="15:23" x14ac:dyDescent="0.25">
      <c r="O1410" s="1">
        <f t="shared" si="110"/>
        <v>99</v>
      </c>
      <c r="Q1410" s="12">
        <f t="shared" si="106"/>
        <v>2.0816410694413794E-14</v>
      </c>
      <c r="S1410" s="13">
        <f t="shared" si="107"/>
        <v>0</v>
      </c>
      <c r="U1410" s="13">
        <f t="shared" si="108"/>
        <v>0</v>
      </c>
      <c r="V1410" s="12"/>
      <c r="W1410" s="13">
        <f t="shared" si="109"/>
        <v>0</v>
      </c>
    </row>
    <row r="1411" spans="15:23" x14ac:dyDescent="0.25">
      <c r="O1411" s="1">
        <f t="shared" si="110"/>
        <v>98</v>
      </c>
      <c r="Q1411" s="12">
        <f t="shared" si="106"/>
        <v>1.4992078017283232E-14</v>
      </c>
      <c r="S1411" s="13">
        <f t="shared" si="107"/>
        <v>0</v>
      </c>
      <c r="U1411" s="13">
        <f t="shared" si="108"/>
        <v>0</v>
      </c>
      <c r="V1411" s="12"/>
      <c r="W1411" s="13">
        <f t="shared" si="109"/>
        <v>0</v>
      </c>
    </row>
    <row r="1412" spans="15:23" x14ac:dyDescent="0.25">
      <c r="O1412" s="1">
        <f t="shared" si="110"/>
        <v>97</v>
      </c>
      <c r="Q1412" s="12">
        <f t="shared" si="106"/>
        <v>1.0738484574340488E-14</v>
      </c>
      <c r="S1412" s="13">
        <f t="shared" si="107"/>
        <v>0</v>
      </c>
      <c r="U1412" s="13">
        <f t="shared" si="108"/>
        <v>0</v>
      </c>
      <c r="V1412" s="12"/>
      <c r="W1412" s="13">
        <f t="shared" si="109"/>
        <v>0</v>
      </c>
    </row>
    <row r="1413" spans="15:23" x14ac:dyDescent="0.25">
      <c r="O1413" s="1">
        <f t="shared" si="110"/>
        <v>96</v>
      </c>
      <c r="Q1413" s="12">
        <f t="shared" si="106"/>
        <v>7.6487525495224092E-15</v>
      </c>
      <c r="S1413" s="13">
        <f t="shared" si="107"/>
        <v>0</v>
      </c>
      <c r="U1413" s="13">
        <f t="shared" si="108"/>
        <v>0</v>
      </c>
      <c r="V1413" s="12"/>
      <c r="W1413" s="13">
        <f t="shared" si="109"/>
        <v>0</v>
      </c>
    </row>
    <row r="1414" spans="15:23" x14ac:dyDescent="0.25">
      <c r="O1414" s="1">
        <f t="shared" si="110"/>
        <v>95</v>
      </c>
      <c r="Q1414" s="12">
        <f t="shared" si="106"/>
        <v>5.4168137060598834E-15</v>
      </c>
      <c r="S1414" s="13">
        <f t="shared" si="107"/>
        <v>0</v>
      </c>
      <c r="U1414" s="13">
        <f t="shared" si="108"/>
        <v>0</v>
      </c>
      <c r="V1414" s="12"/>
      <c r="W1414" s="13">
        <f t="shared" si="109"/>
        <v>0</v>
      </c>
    </row>
    <row r="1415" spans="15:23" x14ac:dyDescent="0.25">
      <c r="O1415" s="1">
        <f t="shared" si="110"/>
        <v>94</v>
      </c>
      <c r="Q1415" s="12">
        <f t="shared" si="106"/>
        <v>3.8136422620843454E-15</v>
      </c>
      <c r="S1415" s="13">
        <f t="shared" si="107"/>
        <v>0</v>
      </c>
      <c r="U1415" s="13">
        <f t="shared" si="108"/>
        <v>0</v>
      </c>
      <c r="V1415" s="12"/>
      <c r="W1415" s="13">
        <f t="shared" si="109"/>
        <v>0</v>
      </c>
    </row>
    <row r="1416" spans="15:23" x14ac:dyDescent="0.25">
      <c r="O1416" s="1">
        <f t="shared" si="110"/>
        <v>93</v>
      </c>
      <c r="Q1416" s="12">
        <f t="shared" si="106"/>
        <v>2.6687851890096196E-15</v>
      </c>
      <c r="S1416" s="13">
        <f t="shared" si="107"/>
        <v>0</v>
      </c>
      <c r="U1416" s="13">
        <f t="shared" si="108"/>
        <v>0</v>
      </c>
      <c r="V1416" s="12"/>
      <c r="W1416" s="13">
        <f t="shared" si="109"/>
        <v>0</v>
      </c>
    </row>
    <row r="1417" spans="15:23" x14ac:dyDescent="0.25">
      <c r="O1417" s="1">
        <f t="shared" si="110"/>
        <v>92</v>
      </c>
      <c r="Q1417" s="12">
        <f t="shared" si="106"/>
        <v>1.8560830826289644E-15</v>
      </c>
      <c r="S1417" s="13">
        <f t="shared" si="107"/>
        <v>0</v>
      </c>
      <c r="U1417" s="13">
        <f t="shared" si="108"/>
        <v>0</v>
      </c>
      <c r="V1417" s="12"/>
      <c r="W1417" s="13">
        <f t="shared" si="109"/>
        <v>0</v>
      </c>
    </row>
    <row r="1418" spans="15:23" x14ac:dyDescent="0.25">
      <c r="O1418" s="1">
        <f t="shared" si="110"/>
        <v>91</v>
      </c>
      <c r="Q1418" s="12">
        <f t="shared" ref="Q1418:Q1481" si="111">_xlfn.LOGNORM.DIST(O1418,$D$25,$D$26,FALSE)</f>
        <v>1.2826890703984155E-15</v>
      </c>
      <c r="S1418" s="13">
        <f t="shared" ref="S1418:S1481" si="112">IF(O1418&gt;$D$6,O1418*Q1418,0)</f>
        <v>0</v>
      </c>
      <c r="U1418" s="13">
        <f t="shared" ref="U1418:U1481" si="113">IF(O1418&gt;$D$6,$D$6*Q1418,0)</f>
        <v>0</v>
      </c>
      <c r="V1418" s="12"/>
      <c r="W1418" s="13">
        <f t="shared" ref="W1418:W1481" si="114">(S1418-U1418)*EXP(-$D$9*$D$7)</f>
        <v>0</v>
      </c>
    </row>
    <row r="1419" spans="15:23" x14ac:dyDescent="0.25">
      <c r="O1419" s="1">
        <f t="shared" ref="O1419:O1482" si="115">O1418-1</f>
        <v>90</v>
      </c>
      <c r="Q1419" s="12">
        <f t="shared" si="111"/>
        <v>8.8066971102555361E-16</v>
      </c>
      <c r="S1419" s="13">
        <f t="shared" si="112"/>
        <v>0</v>
      </c>
      <c r="U1419" s="13">
        <f t="shared" si="113"/>
        <v>0</v>
      </c>
      <c r="V1419" s="12"/>
      <c r="W1419" s="13">
        <f t="shared" si="114"/>
        <v>0</v>
      </c>
    </row>
    <row r="1420" spans="15:23" x14ac:dyDescent="0.25">
      <c r="O1420" s="1">
        <f t="shared" si="115"/>
        <v>89</v>
      </c>
      <c r="Q1420" s="12">
        <f t="shared" si="111"/>
        <v>6.0061644045992182E-16</v>
      </c>
      <c r="S1420" s="13">
        <f t="shared" si="112"/>
        <v>0</v>
      </c>
      <c r="U1420" s="13">
        <f t="shared" si="113"/>
        <v>0</v>
      </c>
      <c r="V1420" s="12"/>
      <c r="W1420" s="13">
        <f t="shared" si="114"/>
        <v>0</v>
      </c>
    </row>
    <row r="1421" spans="15:23" x14ac:dyDescent="0.25">
      <c r="O1421" s="1">
        <f t="shared" si="115"/>
        <v>88</v>
      </c>
      <c r="Q1421" s="12">
        <f t="shared" si="111"/>
        <v>4.0681396142251646E-16</v>
      </c>
      <c r="S1421" s="13">
        <f t="shared" si="112"/>
        <v>0</v>
      </c>
      <c r="U1421" s="13">
        <f t="shared" si="113"/>
        <v>0</v>
      </c>
      <c r="V1421" s="12"/>
      <c r="W1421" s="13">
        <f t="shared" si="114"/>
        <v>0</v>
      </c>
    </row>
    <row r="1422" spans="15:23" x14ac:dyDescent="0.25">
      <c r="O1422" s="1">
        <f t="shared" si="115"/>
        <v>87</v>
      </c>
      <c r="Q1422" s="12">
        <f t="shared" si="111"/>
        <v>2.7360749425669806E-16</v>
      </c>
      <c r="S1422" s="13">
        <f t="shared" si="112"/>
        <v>0</v>
      </c>
      <c r="U1422" s="13">
        <f t="shared" si="113"/>
        <v>0</v>
      </c>
      <c r="V1422" s="12"/>
      <c r="W1422" s="13">
        <f t="shared" si="114"/>
        <v>0</v>
      </c>
    </row>
    <row r="1423" spans="15:23" x14ac:dyDescent="0.25">
      <c r="O1423" s="1">
        <f t="shared" si="115"/>
        <v>86</v>
      </c>
      <c r="Q1423" s="12">
        <f t="shared" si="111"/>
        <v>1.8268780591059232E-16</v>
      </c>
      <c r="S1423" s="13">
        <f t="shared" si="112"/>
        <v>0</v>
      </c>
      <c r="U1423" s="13">
        <f t="shared" si="113"/>
        <v>0</v>
      </c>
      <c r="V1423" s="12"/>
      <c r="W1423" s="13">
        <f t="shared" si="114"/>
        <v>0</v>
      </c>
    </row>
    <row r="1424" spans="15:23" x14ac:dyDescent="0.25">
      <c r="O1424" s="1">
        <f t="shared" si="115"/>
        <v>85</v>
      </c>
      <c r="Q1424" s="12">
        <f t="shared" si="111"/>
        <v>1.2107465141439693E-16</v>
      </c>
      <c r="S1424" s="13">
        <f t="shared" si="112"/>
        <v>0</v>
      </c>
      <c r="U1424" s="13">
        <f t="shared" si="113"/>
        <v>0</v>
      </c>
      <c r="V1424" s="12"/>
      <c r="W1424" s="13">
        <f t="shared" si="114"/>
        <v>0</v>
      </c>
    </row>
    <row r="1425" spans="15:23" x14ac:dyDescent="0.25">
      <c r="O1425" s="1">
        <f t="shared" si="115"/>
        <v>84</v>
      </c>
      <c r="Q1425" s="12">
        <f t="shared" si="111"/>
        <v>7.9628444191456616E-17</v>
      </c>
      <c r="S1425" s="13">
        <f t="shared" si="112"/>
        <v>0</v>
      </c>
      <c r="U1425" s="13">
        <f t="shared" si="113"/>
        <v>0</v>
      </c>
      <c r="V1425" s="12"/>
      <c r="W1425" s="13">
        <f t="shared" si="114"/>
        <v>0</v>
      </c>
    </row>
    <row r="1426" spans="15:23" x14ac:dyDescent="0.25">
      <c r="O1426" s="1">
        <f t="shared" si="115"/>
        <v>83</v>
      </c>
      <c r="Q1426" s="12">
        <f t="shared" si="111"/>
        <v>5.1958930985864309E-17</v>
      </c>
      <c r="S1426" s="13">
        <f t="shared" si="112"/>
        <v>0</v>
      </c>
      <c r="U1426" s="13">
        <f t="shared" si="113"/>
        <v>0</v>
      </c>
      <c r="V1426" s="12"/>
      <c r="W1426" s="13">
        <f t="shared" si="114"/>
        <v>0</v>
      </c>
    </row>
    <row r="1427" spans="15:23" x14ac:dyDescent="0.25">
      <c r="O1427" s="1">
        <f t="shared" si="115"/>
        <v>82</v>
      </c>
      <c r="Q1427" s="12">
        <f t="shared" si="111"/>
        <v>3.3630320602892285E-17</v>
      </c>
      <c r="S1427" s="13">
        <f t="shared" si="112"/>
        <v>0</v>
      </c>
      <c r="U1427" s="13">
        <f t="shared" si="113"/>
        <v>0</v>
      </c>
      <c r="V1427" s="12"/>
      <c r="W1427" s="13">
        <f t="shared" si="114"/>
        <v>0</v>
      </c>
    </row>
    <row r="1428" spans="15:23" x14ac:dyDescent="0.25">
      <c r="O1428" s="1">
        <f t="shared" si="115"/>
        <v>81</v>
      </c>
      <c r="Q1428" s="12">
        <f t="shared" si="111"/>
        <v>2.1586314169648291E-17</v>
      </c>
      <c r="S1428" s="13">
        <f t="shared" si="112"/>
        <v>0</v>
      </c>
      <c r="U1428" s="13">
        <f t="shared" si="113"/>
        <v>0</v>
      </c>
      <c r="V1428" s="12"/>
      <c r="W1428" s="13">
        <f t="shared" si="114"/>
        <v>0</v>
      </c>
    </row>
    <row r="1429" spans="15:23" x14ac:dyDescent="0.25">
      <c r="O1429" s="1">
        <f t="shared" si="115"/>
        <v>80</v>
      </c>
      <c r="Q1429" s="12">
        <f t="shared" si="111"/>
        <v>1.3737140109287363E-17</v>
      </c>
      <c r="S1429" s="13">
        <f t="shared" si="112"/>
        <v>0</v>
      </c>
      <c r="U1429" s="13">
        <f t="shared" si="113"/>
        <v>0</v>
      </c>
      <c r="V1429" s="12"/>
      <c r="W1429" s="13">
        <f t="shared" si="114"/>
        <v>0</v>
      </c>
    </row>
    <row r="1430" spans="15:23" x14ac:dyDescent="0.25">
      <c r="O1430" s="1">
        <f t="shared" si="115"/>
        <v>79</v>
      </c>
      <c r="Q1430" s="12">
        <f t="shared" si="111"/>
        <v>8.6651033458181492E-18</v>
      </c>
      <c r="S1430" s="13">
        <f t="shared" si="112"/>
        <v>0</v>
      </c>
      <c r="U1430" s="13">
        <f t="shared" si="113"/>
        <v>0</v>
      </c>
      <c r="V1430" s="12"/>
      <c r="W1430" s="13">
        <f t="shared" si="114"/>
        <v>0</v>
      </c>
    </row>
    <row r="1431" spans="15:23" x14ac:dyDescent="0.25">
      <c r="O1431" s="1">
        <f t="shared" si="115"/>
        <v>78</v>
      </c>
      <c r="Q1431" s="12">
        <f t="shared" si="111"/>
        <v>5.4162078175000576E-18</v>
      </c>
      <c r="S1431" s="13">
        <f t="shared" si="112"/>
        <v>0</v>
      </c>
      <c r="U1431" s="13">
        <f t="shared" si="113"/>
        <v>0</v>
      </c>
      <c r="V1431" s="12"/>
      <c r="W1431" s="13">
        <f t="shared" si="114"/>
        <v>0</v>
      </c>
    </row>
    <row r="1432" spans="15:23" x14ac:dyDescent="0.25">
      <c r="O1432" s="1">
        <f t="shared" si="115"/>
        <v>77</v>
      </c>
      <c r="Q1432" s="12">
        <f t="shared" si="111"/>
        <v>3.353827260743484E-18</v>
      </c>
      <c r="S1432" s="13">
        <f t="shared" si="112"/>
        <v>0</v>
      </c>
      <c r="U1432" s="13">
        <f t="shared" si="113"/>
        <v>0</v>
      </c>
      <c r="V1432" s="12"/>
      <c r="W1432" s="13">
        <f t="shared" si="114"/>
        <v>0</v>
      </c>
    </row>
    <row r="1433" spans="15:23" x14ac:dyDescent="0.25">
      <c r="O1433" s="1">
        <f t="shared" si="115"/>
        <v>76</v>
      </c>
      <c r="Q1433" s="12">
        <f t="shared" si="111"/>
        <v>2.0567632426734273E-18</v>
      </c>
      <c r="S1433" s="13">
        <f t="shared" si="112"/>
        <v>0</v>
      </c>
      <c r="U1433" s="13">
        <f t="shared" si="113"/>
        <v>0</v>
      </c>
      <c r="V1433" s="12"/>
      <c r="W1433" s="13">
        <f t="shared" si="114"/>
        <v>0</v>
      </c>
    </row>
    <row r="1434" spans="15:23" x14ac:dyDescent="0.25">
      <c r="O1434" s="1">
        <f t="shared" si="115"/>
        <v>75</v>
      </c>
      <c r="Q1434" s="12">
        <f t="shared" si="111"/>
        <v>1.2488063620467767E-18</v>
      </c>
      <c r="S1434" s="13">
        <f t="shared" si="112"/>
        <v>0</v>
      </c>
      <c r="U1434" s="13">
        <f t="shared" si="113"/>
        <v>0</v>
      </c>
      <c r="V1434" s="12"/>
      <c r="W1434" s="13">
        <f t="shared" si="114"/>
        <v>0</v>
      </c>
    </row>
    <row r="1435" spans="15:23" x14ac:dyDescent="0.25">
      <c r="O1435" s="1">
        <f t="shared" si="115"/>
        <v>74</v>
      </c>
      <c r="Q1435" s="12">
        <f t="shared" si="111"/>
        <v>7.5047499713992282E-19</v>
      </c>
      <c r="S1435" s="13">
        <f t="shared" si="112"/>
        <v>0</v>
      </c>
      <c r="U1435" s="13">
        <f t="shared" si="113"/>
        <v>0</v>
      </c>
      <c r="V1435" s="12"/>
      <c r="W1435" s="13">
        <f t="shared" si="114"/>
        <v>0</v>
      </c>
    </row>
    <row r="1436" spans="15:23" x14ac:dyDescent="0.25">
      <c r="O1436" s="1">
        <f t="shared" si="115"/>
        <v>73</v>
      </c>
      <c r="Q1436" s="12">
        <f t="shared" si="111"/>
        <v>4.4623606271061874E-19</v>
      </c>
      <c r="S1436" s="13">
        <f t="shared" si="112"/>
        <v>0</v>
      </c>
      <c r="U1436" s="13">
        <f t="shared" si="113"/>
        <v>0</v>
      </c>
      <c r="V1436" s="12"/>
      <c r="W1436" s="13">
        <f t="shared" si="114"/>
        <v>0</v>
      </c>
    </row>
    <row r="1437" spans="15:23" x14ac:dyDescent="0.25">
      <c r="O1437" s="1">
        <f t="shared" si="115"/>
        <v>72</v>
      </c>
      <c r="Q1437" s="12">
        <f t="shared" si="111"/>
        <v>2.6244051957247642E-19</v>
      </c>
      <c r="S1437" s="13">
        <f t="shared" si="112"/>
        <v>0</v>
      </c>
      <c r="U1437" s="13">
        <f t="shared" si="113"/>
        <v>0</v>
      </c>
      <c r="V1437" s="12"/>
      <c r="W1437" s="13">
        <f t="shared" si="114"/>
        <v>0</v>
      </c>
    </row>
    <row r="1438" spans="15:23" x14ac:dyDescent="0.25">
      <c r="O1438" s="1">
        <f t="shared" si="115"/>
        <v>71</v>
      </c>
      <c r="Q1438" s="12">
        <f t="shared" si="111"/>
        <v>1.5260841180704908E-19</v>
      </c>
      <c r="S1438" s="13">
        <f t="shared" si="112"/>
        <v>0</v>
      </c>
      <c r="U1438" s="13">
        <f t="shared" si="113"/>
        <v>0</v>
      </c>
      <c r="V1438" s="12"/>
      <c r="W1438" s="13">
        <f t="shared" si="114"/>
        <v>0</v>
      </c>
    </row>
    <row r="1439" spans="15:23" x14ac:dyDescent="0.25">
      <c r="O1439" s="1">
        <f t="shared" si="115"/>
        <v>70</v>
      </c>
      <c r="Q1439" s="12">
        <f t="shared" si="111"/>
        <v>8.7708901037644176E-20</v>
      </c>
      <c r="S1439" s="13">
        <f t="shared" si="112"/>
        <v>0</v>
      </c>
      <c r="U1439" s="13">
        <f t="shared" si="113"/>
        <v>0</v>
      </c>
      <c r="V1439" s="12"/>
      <c r="W1439" s="13">
        <f t="shared" si="114"/>
        <v>0</v>
      </c>
    </row>
    <row r="1440" spans="15:23" x14ac:dyDescent="0.25">
      <c r="O1440" s="1">
        <f t="shared" si="115"/>
        <v>69</v>
      </c>
      <c r="Q1440" s="12">
        <f t="shared" si="111"/>
        <v>4.9802937825958072E-20</v>
      </c>
      <c r="S1440" s="13">
        <f t="shared" si="112"/>
        <v>0</v>
      </c>
      <c r="U1440" s="13">
        <f t="shared" si="113"/>
        <v>0</v>
      </c>
      <c r="V1440" s="12"/>
      <c r="W1440" s="13">
        <f t="shared" si="114"/>
        <v>0</v>
      </c>
    </row>
    <row r="1441" spans="15:23" x14ac:dyDescent="0.25">
      <c r="O1441" s="1">
        <f t="shared" si="115"/>
        <v>68</v>
      </c>
      <c r="Q1441" s="12">
        <f t="shared" si="111"/>
        <v>2.7927533304172989E-20</v>
      </c>
      <c r="S1441" s="13">
        <f t="shared" si="112"/>
        <v>0</v>
      </c>
      <c r="U1441" s="13">
        <f t="shared" si="113"/>
        <v>0</v>
      </c>
      <c r="V1441" s="12"/>
      <c r="W1441" s="13">
        <f t="shared" si="114"/>
        <v>0</v>
      </c>
    </row>
    <row r="1442" spans="15:23" x14ac:dyDescent="0.25">
      <c r="O1442" s="1">
        <f t="shared" si="115"/>
        <v>67</v>
      </c>
      <c r="Q1442" s="12">
        <f t="shared" si="111"/>
        <v>1.545923391599473E-20</v>
      </c>
      <c r="S1442" s="13">
        <f t="shared" si="112"/>
        <v>0</v>
      </c>
      <c r="U1442" s="13">
        <f t="shared" si="113"/>
        <v>0</v>
      </c>
      <c r="V1442" s="12"/>
      <c r="W1442" s="13">
        <f t="shared" si="114"/>
        <v>0</v>
      </c>
    </row>
    <row r="1443" spans="15:23" x14ac:dyDescent="0.25">
      <c r="O1443" s="1">
        <f t="shared" si="115"/>
        <v>66</v>
      </c>
      <c r="Q1443" s="12">
        <f t="shared" si="111"/>
        <v>8.4435142713294988E-21</v>
      </c>
      <c r="S1443" s="13">
        <f t="shared" si="112"/>
        <v>0</v>
      </c>
      <c r="U1443" s="13">
        <f t="shared" si="113"/>
        <v>0</v>
      </c>
      <c r="V1443" s="12"/>
      <c r="W1443" s="13">
        <f t="shared" si="114"/>
        <v>0</v>
      </c>
    </row>
    <row r="1444" spans="15:23" x14ac:dyDescent="0.25">
      <c r="O1444" s="1">
        <f t="shared" si="115"/>
        <v>65</v>
      </c>
      <c r="Q1444" s="12">
        <f t="shared" si="111"/>
        <v>4.5481057754436962E-21</v>
      </c>
      <c r="S1444" s="13">
        <f t="shared" si="112"/>
        <v>0</v>
      </c>
      <c r="U1444" s="13">
        <f t="shared" si="113"/>
        <v>0</v>
      </c>
      <c r="V1444" s="12"/>
      <c r="W1444" s="13">
        <f t="shared" si="114"/>
        <v>0</v>
      </c>
    </row>
    <row r="1445" spans="15:23" x14ac:dyDescent="0.25">
      <c r="O1445" s="1">
        <f t="shared" si="115"/>
        <v>64</v>
      </c>
      <c r="Q1445" s="12">
        <f t="shared" si="111"/>
        <v>2.4148572459069772E-21</v>
      </c>
      <c r="S1445" s="13">
        <f t="shared" si="112"/>
        <v>0</v>
      </c>
      <c r="U1445" s="13">
        <f t="shared" si="113"/>
        <v>0</v>
      </c>
      <c r="V1445" s="12"/>
      <c r="W1445" s="13">
        <f t="shared" si="114"/>
        <v>0</v>
      </c>
    </row>
    <row r="1446" spans="15:23" x14ac:dyDescent="0.25">
      <c r="O1446" s="1">
        <f t="shared" si="115"/>
        <v>63</v>
      </c>
      <c r="Q1446" s="12">
        <f t="shared" si="111"/>
        <v>1.2632118391035038E-21</v>
      </c>
      <c r="S1446" s="13">
        <f t="shared" si="112"/>
        <v>0</v>
      </c>
      <c r="U1446" s="13">
        <f t="shared" si="113"/>
        <v>0</v>
      </c>
      <c r="V1446" s="12"/>
      <c r="W1446" s="13">
        <f t="shared" si="114"/>
        <v>0</v>
      </c>
    </row>
    <row r="1447" spans="15:23" x14ac:dyDescent="0.25">
      <c r="O1447" s="1">
        <f t="shared" si="115"/>
        <v>62</v>
      </c>
      <c r="Q1447" s="12">
        <f t="shared" si="111"/>
        <v>6.5064315165695426E-22</v>
      </c>
      <c r="S1447" s="13">
        <f t="shared" si="112"/>
        <v>0</v>
      </c>
      <c r="U1447" s="13">
        <f t="shared" si="113"/>
        <v>0</v>
      </c>
      <c r="V1447" s="12"/>
      <c r="W1447" s="13">
        <f t="shared" si="114"/>
        <v>0</v>
      </c>
    </row>
    <row r="1448" spans="15:23" x14ac:dyDescent="0.25">
      <c r="O1448" s="1">
        <f t="shared" si="115"/>
        <v>61</v>
      </c>
      <c r="Q1448" s="12">
        <f t="shared" si="111"/>
        <v>3.2978939594367401E-22</v>
      </c>
      <c r="S1448" s="13">
        <f t="shared" si="112"/>
        <v>0</v>
      </c>
      <c r="U1448" s="13">
        <f t="shared" si="113"/>
        <v>0</v>
      </c>
      <c r="V1448" s="12"/>
      <c r="W1448" s="13">
        <f t="shared" si="114"/>
        <v>0</v>
      </c>
    </row>
    <row r="1449" spans="15:23" x14ac:dyDescent="0.25">
      <c r="O1449" s="1">
        <f t="shared" si="115"/>
        <v>60</v>
      </c>
      <c r="Q1449" s="12">
        <f t="shared" si="111"/>
        <v>1.643951539449469E-22</v>
      </c>
      <c r="S1449" s="13">
        <f t="shared" si="112"/>
        <v>0</v>
      </c>
      <c r="U1449" s="13">
        <f t="shared" si="113"/>
        <v>0</v>
      </c>
      <c r="V1449" s="12"/>
      <c r="W1449" s="13">
        <f t="shared" si="114"/>
        <v>0</v>
      </c>
    </row>
    <row r="1450" spans="15:23" x14ac:dyDescent="0.25">
      <c r="O1450" s="1">
        <f t="shared" si="115"/>
        <v>59</v>
      </c>
      <c r="Q1450" s="12">
        <f t="shared" si="111"/>
        <v>8.0540875679192232E-23</v>
      </c>
      <c r="S1450" s="13">
        <f t="shared" si="112"/>
        <v>0</v>
      </c>
      <c r="U1450" s="13">
        <f t="shared" si="113"/>
        <v>0</v>
      </c>
      <c r="V1450" s="12"/>
      <c r="W1450" s="13">
        <f t="shared" si="114"/>
        <v>0</v>
      </c>
    </row>
    <row r="1451" spans="15:23" x14ac:dyDescent="0.25">
      <c r="O1451" s="1">
        <f t="shared" si="115"/>
        <v>58</v>
      </c>
      <c r="Q1451" s="12">
        <f t="shared" si="111"/>
        <v>3.8754245540518684E-23</v>
      </c>
      <c r="S1451" s="13">
        <f t="shared" si="112"/>
        <v>0</v>
      </c>
      <c r="U1451" s="13">
        <f t="shared" si="113"/>
        <v>0</v>
      </c>
      <c r="V1451" s="12"/>
      <c r="W1451" s="13">
        <f t="shared" si="114"/>
        <v>0</v>
      </c>
    </row>
    <row r="1452" spans="15:23" x14ac:dyDescent="0.25">
      <c r="O1452" s="1">
        <f t="shared" si="115"/>
        <v>57</v>
      </c>
      <c r="Q1452" s="12">
        <f t="shared" si="111"/>
        <v>1.830127386415825E-23</v>
      </c>
      <c r="S1452" s="13">
        <f t="shared" si="112"/>
        <v>0</v>
      </c>
      <c r="U1452" s="13">
        <f t="shared" si="113"/>
        <v>0</v>
      </c>
      <c r="V1452" s="12"/>
      <c r="W1452" s="13">
        <f t="shared" si="114"/>
        <v>0</v>
      </c>
    </row>
    <row r="1453" spans="15:23" x14ac:dyDescent="0.25">
      <c r="O1453" s="1">
        <f t="shared" si="115"/>
        <v>56</v>
      </c>
      <c r="Q1453" s="12">
        <f t="shared" si="111"/>
        <v>8.4755432974245841E-24</v>
      </c>
      <c r="S1453" s="13">
        <f t="shared" si="112"/>
        <v>0</v>
      </c>
      <c r="U1453" s="13">
        <f t="shared" si="113"/>
        <v>0</v>
      </c>
      <c r="V1453" s="12"/>
      <c r="W1453" s="13">
        <f t="shared" si="114"/>
        <v>0</v>
      </c>
    </row>
    <row r="1454" spans="15:23" x14ac:dyDescent="0.25">
      <c r="O1454" s="1">
        <f t="shared" si="115"/>
        <v>55</v>
      </c>
      <c r="Q1454" s="12">
        <f t="shared" si="111"/>
        <v>3.8461238378804108E-24</v>
      </c>
      <c r="S1454" s="13">
        <f t="shared" si="112"/>
        <v>0</v>
      </c>
      <c r="U1454" s="13">
        <f t="shared" si="113"/>
        <v>0</v>
      </c>
      <c r="V1454" s="12"/>
      <c r="W1454" s="13">
        <f t="shared" si="114"/>
        <v>0</v>
      </c>
    </row>
    <row r="1455" spans="15:23" x14ac:dyDescent="0.25">
      <c r="O1455" s="1">
        <f t="shared" si="115"/>
        <v>54</v>
      </c>
      <c r="Q1455" s="12">
        <f t="shared" si="111"/>
        <v>1.7087259522701903E-24</v>
      </c>
      <c r="S1455" s="13">
        <f t="shared" si="112"/>
        <v>0</v>
      </c>
      <c r="U1455" s="13">
        <f t="shared" si="113"/>
        <v>0</v>
      </c>
      <c r="V1455" s="12"/>
      <c r="W1455" s="13">
        <f t="shared" si="114"/>
        <v>0</v>
      </c>
    </row>
    <row r="1456" spans="15:23" x14ac:dyDescent="0.25">
      <c r="O1456" s="1">
        <f t="shared" si="115"/>
        <v>53</v>
      </c>
      <c r="Q1456" s="12">
        <f t="shared" si="111"/>
        <v>7.4253323544375172E-25</v>
      </c>
      <c r="S1456" s="13">
        <f t="shared" si="112"/>
        <v>0</v>
      </c>
      <c r="U1456" s="13">
        <f t="shared" si="113"/>
        <v>0</v>
      </c>
      <c r="V1456" s="12"/>
      <c r="W1456" s="13">
        <f t="shared" si="114"/>
        <v>0</v>
      </c>
    </row>
    <row r="1457" spans="15:23" x14ac:dyDescent="0.25">
      <c r="O1457" s="1">
        <f t="shared" si="115"/>
        <v>52</v>
      </c>
      <c r="Q1457" s="12">
        <f t="shared" si="111"/>
        <v>3.1530414673514702E-25</v>
      </c>
      <c r="S1457" s="13">
        <f t="shared" si="112"/>
        <v>0</v>
      </c>
      <c r="U1457" s="13">
        <f t="shared" si="113"/>
        <v>0</v>
      </c>
      <c r="V1457" s="12"/>
      <c r="W1457" s="13">
        <f t="shared" si="114"/>
        <v>0</v>
      </c>
    </row>
    <row r="1458" spans="15:23" x14ac:dyDescent="0.25">
      <c r="O1458" s="1">
        <f t="shared" si="115"/>
        <v>51</v>
      </c>
      <c r="Q1458" s="12">
        <f t="shared" si="111"/>
        <v>1.3069614091485507E-25</v>
      </c>
      <c r="S1458" s="13">
        <f t="shared" si="112"/>
        <v>0</v>
      </c>
      <c r="U1458" s="13">
        <f t="shared" si="113"/>
        <v>0</v>
      </c>
      <c r="V1458" s="12"/>
      <c r="W1458" s="13">
        <f t="shared" si="114"/>
        <v>0</v>
      </c>
    </row>
    <row r="1459" spans="15:23" x14ac:dyDescent="0.25">
      <c r="O1459" s="1">
        <f t="shared" si="115"/>
        <v>50</v>
      </c>
      <c r="Q1459" s="12">
        <f t="shared" si="111"/>
        <v>5.2824437507317092E-26</v>
      </c>
      <c r="S1459" s="13">
        <f t="shared" si="112"/>
        <v>0</v>
      </c>
      <c r="U1459" s="13">
        <f t="shared" si="113"/>
        <v>0</v>
      </c>
      <c r="V1459" s="12"/>
      <c r="W1459" s="13">
        <f t="shared" si="114"/>
        <v>0</v>
      </c>
    </row>
    <row r="1460" spans="15:23" x14ac:dyDescent="0.25">
      <c r="O1460" s="1">
        <f t="shared" si="115"/>
        <v>49</v>
      </c>
      <c r="Q1460" s="12">
        <f t="shared" si="111"/>
        <v>2.0793806675546228E-26</v>
      </c>
      <c r="S1460" s="13">
        <f t="shared" si="112"/>
        <v>0</v>
      </c>
      <c r="U1460" s="13">
        <f t="shared" si="113"/>
        <v>0</v>
      </c>
      <c r="V1460" s="12"/>
      <c r="W1460" s="13">
        <f t="shared" si="114"/>
        <v>0</v>
      </c>
    </row>
    <row r="1461" spans="15:23" x14ac:dyDescent="0.25">
      <c r="O1461" s="1">
        <f t="shared" si="115"/>
        <v>48</v>
      </c>
      <c r="Q1461" s="12">
        <f t="shared" si="111"/>
        <v>7.9618416984999939E-27</v>
      </c>
      <c r="S1461" s="13">
        <f t="shared" si="112"/>
        <v>0</v>
      </c>
      <c r="U1461" s="13">
        <f t="shared" si="113"/>
        <v>0</v>
      </c>
      <c r="V1461" s="12"/>
      <c r="W1461" s="13">
        <f t="shared" si="114"/>
        <v>0</v>
      </c>
    </row>
    <row r="1462" spans="15:23" x14ac:dyDescent="0.25">
      <c r="O1462" s="1">
        <f t="shared" si="115"/>
        <v>47</v>
      </c>
      <c r="Q1462" s="12">
        <f t="shared" si="111"/>
        <v>2.961346676201155E-27</v>
      </c>
      <c r="S1462" s="13">
        <f t="shared" si="112"/>
        <v>0</v>
      </c>
      <c r="U1462" s="13">
        <f t="shared" si="113"/>
        <v>0</v>
      </c>
      <c r="V1462" s="12"/>
      <c r="W1462" s="13">
        <f t="shared" si="114"/>
        <v>0</v>
      </c>
    </row>
    <row r="1463" spans="15:23" x14ac:dyDescent="0.25">
      <c r="O1463" s="1">
        <f t="shared" si="115"/>
        <v>46</v>
      </c>
      <c r="Q1463" s="12">
        <f t="shared" si="111"/>
        <v>1.0684047478472935E-27</v>
      </c>
      <c r="S1463" s="13">
        <f t="shared" si="112"/>
        <v>0</v>
      </c>
      <c r="U1463" s="13">
        <f t="shared" si="113"/>
        <v>0</v>
      </c>
      <c r="V1463" s="12"/>
      <c r="W1463" s="13">
        <f t="shared" si="114"/>
        <v>0</v>
      </c>
    </row>
    <row r="1464" spans="15:23" x14ac:dyDescent="0.25">
      <c r="O1464" s="1">
        <f t="shared" si="115"/>
        <v>45</v>
      </c>
      <c r="Q1464" s="12">
        <f t="shared" si="111"/>
        <v>3.7332144953192008E-28</v>
      </c>
      <c r="S1464" s="13">
        <f t="shared" si="112"/>
        <v>0</v>
      </c>
      <c r="U1464" s="13">
        <f t="shared" si="113"/>
        <v>0</v>
      </c>
      <c r="V1464" s="12"/>
      <c r="W1464" s="13">
        <f t="shared" si="114"/>
        <v>0</v>
      </c>
    </row>
    <row r="1465" spans="15:23" x14ac:dyDescent="0.25">
      <c r="O1465" s="1">
        <f t="shared" si="115"/>
        <v>44</v>
      </c>
      <c r="Q1465" s="12">
        <f t="shared" si="111"/>
        <v>1.2612789898326976E-28</v>
      </c>
      <c r="S1465" s="13">
        <f t="shared" si="112"/>
        <v>0</v>
      </c>
      <c r="U1465" s="13">
        <f t="shared" si="113"/>
        <v>0</v>
      </c>
      <c r="V1465" s="12"/>
      <c r="W1465" s="13">
        <f t="shared" si="114"/>
        <v>0</v>
      </c>
    </row>
    <row r="1466" spans="15:23" x14ac:dyDescent="0.25">
      <c r="O1466" s="1">
        <f t="shared" si="115"/>
        <v>43</v>
      </c>
      <c r="Q1466" s="12">
        <f t="shared" si="111"/>
        <v>4.1128884949781306E-29</v>
      </c>
      <c r="S1466" s="13">
        <f t="shared" si="112"/>
        <v>0</v>
      </c>
      <c r="U1466" s="13">
        <f t="shared" si="113"/>
        <v>0</v>
      </c>
      <c r="V1466" s="12"/>
      <c r="W1466" s="13">
        <f t="shared" si="114"/>
        <v>0</v>
      </c>
    </row>
    <row r="1467" spans="15:23" x14ac:dyDescent="0.25">
      <c r="O1467" s="1">
        <f t="shared" si="115"/>
        <v>42</v>
      </c>
      <c r="Q1467" s="12">
        <f t="shared" si="111"/>
        <v>1.2919844948506093E-29</v>
      </c>
      <c r="S1467" s="13">
        <f t="shared" si="112"/>
        <v>0</v>
      </c>
      <c r="U1467" s="13">
        <f t="shared" si="113"/>
        <v>0</v>
      </c>
      <c r="V1467" s="12"/>
      <c r="W1467" s="13">
        <f t="shared" si="114"/>
        <v>0</v>
      </c>
    </row>
    <row r="1468" spans="15:23" x14ac:dyDescent="0.25">
      <c r="O1468" s="1">
        <f t="shared" si="115"/>
        <v>41</v>
      </c>
      <c r="Q1468" s="12">
        <f t="shared" si="111"/>
        <v>3.9016092908809029E-30</v>
      </c>
      <c r="S1468" s="13">
        <f t="shared" si="112"/>
        <v>0</v>
      </c>
      <c r="U1468" s="13">
        <f t="shared" si="113"/>
        <v>0</v>
      </c>
      <c r="V1468" s="12"/>
      <c r="W1468" s="13">
        <f t="shared" si="114"/>
        <v>0</v>
      </c>
    </row>
    <row r="1469" spans="15:23" x14ac:dyDescent="0.25">
      <c r="O1469" s="1">
        <f t="shared" si="115"/>
        <v>40</v>
      </c>
      <c r="Q1469" s="12">
        <f t="shared" si="111"/>
        <v>1.1301484353228469E-30</v>
      </c>
      <c r="S1469" s="13">
        <f t="shared" si="112"/>
        <v>0</v>
      </c>
      <c r="U1469" s="13">
        <f t="shared" si="113"/>
        <v>0</v>
      </c>
      <c r="V1469" s="12"/>
      <c r="W1469" s="13">
        <f t="shared" si="114"/>
        <v>0</v>
      </c>
    </row>
    <row r="1470" spans="15:23" x14ac:dyDescent="0.25">
      <c r="O1470" s="1">
        <f t="shared" si="115"/>
        <v>39</v>
      </c>
      <c r="Q1470" s="12">
        <f t="shared" si="111"/>
        <v>3.1324301368381824E-31</v>
      </c>
      <c r="S1470" s="13">
        <f t="shared" si="112"/>
        <v>0</v>
      </c>
      <c r="U1470" s="13">
        <f t="shared" si="113"/>
        <v>0</v>
      </c>
      <c r="V1470" s="12"/>
      <c r="W1470" s="13">
        <f t="shared" si="114"/>
        <v>0</v>
      </c>
    </row>
    <row r="1471" spans="15:23" x14ac:dyDescent="0.25">
      <c r="O1471" s="1">
        <f t="shared" si="115"/>
        <v>38</v>
      </c>
      <c r="Q1471" s="12">
        <f t="shared" si="111"/>
        <v>8.2859335013047414E-32</v>
      </c>
      <c r="S1471" s="13">
        <f t="shared" si="112"/>
        <v>0</v>
      </c>
      <c r="U1471" s="13">
        <f t="shared" si="113"/>
        <v>0</v>
      </c>
      <c r="V1471" s="12"/>
      <c r="W1471" s="13">
        <f t="shared" si="114"/>
        <v>0</v>
      </c>
    </row>
    <row r="1472" spans="15:23" x14ac:dyDescent="0.25">
      <c r="O1472" s="1">
        <f t="shared" si="115"/>
        <v>37</v>
      </c>
      <c r="Q1472" s="12">
        <f t="shared" si="111"/>
        <v>2.0858184679745528E-32</v>
      </c>
      <c r="S1472" s="13">
        <f t="shared" si="112"/>
        <v>0</v>
      </c>
      <c r="U1472" s="13">
        <f t="shared" si="113"/>
        <v>0</v>
      </c>
      <c r="V1472" s="12"/>
      <c r="W1472" s="13">
        <f t="shared" si="114"/>
        <v>0</v>
      </c>
    </row>
    <row r="1473" spans="15:23" x14ac:dyDescent="0.25">
      <c r="O1473" s="1">
        <f t="shared" si="115"/>
        <v>36</v>
      </c>
      <c r="Q1473" s="12">
        <f t="shared" si="111"/>
        <v>4.981233075172573E-33</v>
      </c>
      <c r="S1473" s="13">
        <f t="shared" si="112"/>
        <v>0</v>
      </c>
      <c r="U1473" s="13">
        <f t="shared" si="113"/>
        <v>0</v>
      </c>
      <c r="V1473" s="12"/>
      <c r="W1473" s="13">
        <f t="shared" si="114"/>
        <v>0</v>
      </c>
    </row>
    <row r="1474" spans="15:23" x14ac:dyDescent="0.25">
      <c r="O1474" s="1">
        <f t="shared" si="115"/>
        <v>35</v>
      </c>
      <c r="Q1474" s="12">
        <f t="shared" si="111"/>
        <v>1.1247317981916821E-33</v>
      </c>
      <c r="S1474" s="13">
        <f t="shared" si="112"/>
        <v>0</v>
      </c>
      <c r="U1474" s="13">
        <f t="shared" si="113"/>
        <v>0</v>
      </c>
      <c r="V1474" s="12"/>
      <c r="W1474" s="13">
        <f t="shared" si="114"/>
        <v>0</v>
      </c>
    </row>
    <row r="1475" spans="15:23" x14ac:dyDescent="0.25">
      <c r="O1475" s="1">
        <f t="shared" si="115"/>
        <v>34</v>
      </c>
      <c r="Q1475" s="12">
        <f t="shared" si="111"/>
        <v>2.3922153869947942E-34</v>
      </c>
      <c r="S1475" s="13">
        <f t="shared" si="112"/>
        <v>0</v>
      </c>
      <c r="U1475" s="13">
        <f t="shared" si="113"/>
        <v>0</v>
      </c>
      <c r="V1475" s="12"/>
      <c r="W1475" s="13">
        <f t="shared" si="114"/>
        <v>0</v>
      </c>
    </row>
    <row r="1476" spans="15:23" x14ac:dyDescent="0.25">
      <c r="O1476" s="1">
        <f t="shared" si="115"/>
        <v>33</v>
      </c>
      <c r="Q1476" s="12">
        <f t="shared" si="111"/>
        <v>4.7733315485748992E-35</v>
      </c>
      <c r="S1476" s="13">
        <f t="shared" si="112"/>
        <v>0</v>
      </c>
      <c r="U1476" s="13">
        <f t="shared" si="113"/>
        <v>0</v>
      </c>
      <c r="V1476" s="12"/>
      <c r="W1476" s="13">
        <f t="shared" si="114"/>
        <v>0</v>
      </c>
    </row>
    <row r="1477" spans="15:23" x14ac:dyDescent="0.25">
      <c r="O1477" s="1">
        <f t="shared" si="115"/>
        <v>32</v>
      </c>
      <c r="Q1477" s="12">
        <f t="shared" si="111"/>
        <v>8.8954252290846993E-36</v>
      </c>
      <c r="S1477" s="13">
        <f t="shared" si="112"/>
        <v>0</v>
      </c>
      <c r="U1477" s="13">
        <f t="shared" si="113"/>
        <v>0</v>
      </c>
      <c r="V1477" s="12"/>
      <c r="W1477" s="13">
        <f t="shared" si="114"/>
        <v>0</v>
      </c>
    </row>
    <row r="1478" spans="15:23" x14ac:dyDescent="0.25">
      <c r="O1478" s="1">
        <f t="shared" si="115"/>
        <v>31</v>
      </c>
      <c r="Q1478" s="12">
        <f t="shared" si="111"/>
        <v>1.5405951753869979E-36</v>
      </c>
      <c r="S1478" s="13">
        <f t="shared" si="112"/>
        <v>0</v>
      </c>
      <c r="U1478" s="13">
        <f t="shared" si="113"/>
        <v>0</v>
      </c>
      <c r="V1478" s="12"/>
      <c r="W1478" s="13">
        <f t="shared" si="114"/>
        <v>0</v>
      </c>
    </row>
    <row r="1479" spans="15:23" x14ac:dyDescent="0.25">
      <c r="O1479" s="1">
        <f t="shared" si="115"/>
        <v>30</v>
      </c>
      <c r="Q1479" s="12">
        <f t="shared" si="111"/>
        <v>2.4661030384599019E-37</v>
      </c>
      <c r="S1479" s="13">
        <f t="shared" si="112"/>
        <v>0</v>
      </c>
      <c r="U1479" s="13">
        <f t="shared" si="113"/>
        <v>0</v>
      </c>
      <c r="V1479" s="12"/>
      <c r="W1479" s="13">
        <f t="shared" si="114"/>
        <v>0</v>
      </c>
    </row>
    <row r="1480" spans="15:23" x14ac:dyDescent="0.25">
      <c r="O1480" s="1">
        <f t="shared" si="115"/>
        <v>29</v>
      </c>
      <c r="Q1480" s="12">
        <f t="shared" si="111"/>
        <v>3.6265805219829045E-38</v>
      </c>
      <c r="S1480" s="13">
        <f t="shared" si="112"/>
        <v>0</v>
      </c>
      <c r="U1480" s="13">
        <f t="shared" si="113"/>
        <v>0</v>
      </c>
      <c r="V1480" s="12"/>
      <c r="W1480" s="13">
        <f t="shared" si="114"/>
        <v>0</v>
      </c>
    </row>
    <row r="1481" spans="15:23" x14ac:dyDescent="0.25">
      <c r="O1481" s="1">
        <f t="shared" si="115"/>
        <v>28</v>
      </c>
      <c r="Q1481" s="12">
        <f t="shared" si="111"/>
        <v>4.8664127532878454E-39</v>
      </c>
      <c r="S1481" s="13">
        <f t="shared" si="112"/>
        <v>0</v>
      </c>
      <c r="U1481" s="13">
        <f t="shared" si="113"/>
        <v>0</v>
      </c>
      <c r="V1481" s="12"/>
      <c r="W1481" s="13">
        <f t="shared" si="114"/>
        <v>0</v>
      </c>
    </row>
    <row r="1482" spans="15:23" x14ac:dyDescent="0.25">
      <c r="O1482" s="1">
        <f t="shared" si="115"/>
        <v>27</v>
      </c>
      <c r="Q1482" s="12">
        <f t="shared" ref="Q1482:Q1508" si="116">_xlfn.LOGNORM.DIST(O1482,$D$25,$D$26,FALSE)</f>
        <v>5.9137292412080064E-40</v>
      </c>
      <c r="S1482" s="13">
        <f t="shared" ref="S1482:S1508" si="117">IF(O1482&gt;$D$6,O1482*Q1482,0)</f>
        <v>0</v>
      </c>
      <c r="U1482" s="13">
        <f t="shared" ref="U1482:U1508" si="118">IF(O1482&gt;$D$6,$D$6*Q1482,0)</f>
        <v>0</v>
      </c>
      <c r="V1482" s="12"/>
      <c r="W1482" s="13">
        <f t="shared" ref="W1482:W1508" si="119">(S1482-U1482)*EXP(-$D$9*$D$7)</f>
        <v>0</v>
      </c>
    </row>
    <row r="1483" spans="15:23" x14ac:dyDescent="0.25">
      <c r="O1483" s="1">
        <f t="shared" ref="O1483:O1508" si="120">O1482-1</f>
        <v>26</v>
      </c>
      <c r="Q1483" s="12">
        <f t="shared" si="116"/>
        <v>6.4530953147541781E-41</v>
      </c>
      <c r="S1483" s="13">
        <f t="shared" si="117"/>
        <v>0</v>
      </c>
      <c r="U1483" s="13">
        <f t="shared" si="118"/>
        <v>0</v>
      </c>
      <c r="V1483" s="12"/>
      <c r="W1483" s="13">
        <f t="shared" si="119"/>
        <v>0</v>
      </c>
    </row>
    <row r="1484" spans="15:23" x14ac:dyDescent="0.25">
      <c r="O1484" s="1">
        <f t="shared" si="120"/>
        <v>25</v>
      </c>
      <c r="Q1484" s="12">
        <f t="shared" si="116"/>
        <v>6.2628689052702143E-42</v>
      </c>
      <c r="S1484" s="13">
        <f t="shared" si="117"/>
        <v>0</v>
      </c>
      <c r="U1484" s="13">
        <f t="shared" si="118"/>
        <v>0</v>
      </c>
      <c r="V1484" s="12"/>
      <c r="W1484" s="13">
        <f t="shared" si="119"/>
        <v>0</v>
      </c>
    </row>
    <row r="1485" spans="15:23" x14ac:dyDescent="0.25">
      <c r="O1485" s="1">
        <f t="shared" si="120"/>
        <v>24</v>
      </c>
      <c r="Q1485" s="12">
        <f t="shared" si="116"/>
        <v>5.347759109665648E-43</v>
      </c>
      <c r="S1485" s="13">
        <f t="shared" si="117"/>
        <v>0</v>
      </c>
      <c r="U1485" s="13">
        <f t="shared" si="118"/>
        <v>0</v>
      </c>
      <c r="V1485" s="12"/>
      <c r="W1485" s="13">
        <f t="shared" si="119"/>
        <v>0</v>
      </c>
    </row>
    <row r="1486" spans="15:23" x14ac:dyDescent="0.25">
      <c r="O1486" s="1">
        <f t="shared" si="120"/>
        <v>23</v>
      </c>
      <c r="Q1486" s="12">
        <f t="shared" si="116"/>
        <v>3.9683464131504371E-44</v>
      </c>
      <c r="S1486" s="13">
        <f t="shared" si="117"/>
        <v>0</v>
      </c>
      <c r="U1486" s="13">
        <f t="shared" si="118"/>
        <v>0</v>
      </c>
      <c r="V1486" s="12"/>
      <c r="W1486" s="13">
        <f t="shared" si="119"/>
        <v>0</v>
      </c>
    </row>
    <row r="1487" spans="15:23" x14ac:dyDescent="0.25">
      <c r="O1487" s="1">
        <f t="shared" si="120"/>
        <v>22</v>
      </c>
      <c r="Q1487" s="12">
        <f t="shared" si="116"/>
        <v>2.5232590755436719E-45</v>
      </c>
      <c r="S1487" s="13">
        <f t="shared" si="117"/>
        <v>0</v>
      </c>
      <c r="U1487" s="13">
        <f t="shared" si="118"/>
        <v>0</v>
      </c>
      <c r="V1487" s="12"/>
      <c r="W1487" s="13">
        <f t="shared" si="119"/>
        <v>0</v>
      </c>
    </row>
    <row r="1488" spans="15:23" x14ac:dyDescent="0.25">
      <c r="O1488" s="1">
        <f t="shared" si="120"/>
        <v>21</v>
      </c>
      <c r="Q1488" s="12">
        <f t="shared" si="116"/>
        <v>1.3526384959340243E-46</v>
      </c>
      <c r="S1488" s="13">
        <f t="shared" si="117"/>
        <v>0</v>
      </c>
      <c r="U1488" s="13">
        <f t="shared" si="118"/>
        <v>0</v>
      </c>
      <c r="V1488" s="12"/>
      <c r="W1488" s="13">
        <f t="shared" si="119"/>
        <v>0</v>
      </c>
    </row>
    <row r="1489" spans="15:23" x14ac:dyDescent="0.25">
      <c r="O1489" s="1">
        <f t="shared" si="120"/>
        <v>20</v>
      </c>
      <c r="Q1489" s="12">
        <f t="shared" si="116"/>
        <v>5.9994303895008142E-48</v>
      </c>
      <c r="S1489" s="13">
        <f t="shared" si="117"/>
        <v>0</v>
      </c>
      <c r="U1489" s="13">
        <f t="shared" si="118"/>
        <v>0</v>
      </c>
      <c r="V1489" s="12"/>
      <c r="W1489" s="13">
        <f t="shared" si="119"/>
        <v>0</v>
      </c>
    </row>
    <row r="1490" spans="15:23" x14ac:dyDescent="0.25">
      <c r="O1490" s="1">
        <f t="shared" si="120"/>
        <v>19</v>
      </c>
      <c r="Q1490" s="12">
        <f t="shared" si="116"/>
        <v>2.1539417539259652E-49</v>
      </c>
      <c r="S1490" s="13">
        <f t="shared" si="117"/>
        <v>0</v>
      </c>
      <c r="U1490" s="13">
        <f t="shared" si="118"/>
        <v>0</v>
      </c>
      <c r="V1490" s="12"/>
      <c r="W1490" s="13">
        <f t="shared" si="119"/>
        <v>0</v>
      </c>
    </row>
    <row r="1491" spans="15:23" x14ac:dyDescent="0.25">
      <c r="O1491" s="1">
        <f t="shared" si="120"/>
        <v>18</v>
      </c>
      <c r="Q1491" s="12">
        <f t="shared" si="116"/>
        <v>6.1006794681342539E-51</v>
      </c>
      <c r="S1491" s="13">
        <f t="shared" si="117"/>
        <v>0</v>
      </c>
      <c r="U1491" s="13">
        <f t="shared" si="118"/>
        <v>0</v>
      </c>
      <c r="V1491" s="12"/>
      <c r="W1491" s="13">
        <f t="shared" si="119"/>
        <v>0</v>
      </c>
    </row>
    <row r="1492" spans="15:23" x14ac:dyDescent="0.25">
      <c r="O1492" s="1">
        <f t="shared" si="120"/>
        <v>17</v>
      </c>
      <c r="Q1492" s="12">
        <f t="shared" si="116"/>
        <v>1.3222188697690904E-52</v>
      </c>
      <c r="S1492" s="13">
        <f t="shared" si="117"/>
        <v>0</v>
      </c>
      <c r="U1492" s="13">
        <f t="shared" si="118"/>
        <v>0</v>
      </c>
      <c r="V1492" s="12"/>
      <c r="W1492" s="13">
        <f t="shared" si="119"/>
        <v>0</v>
      </c>
    </row>
    <row r="1493" spans="15:23" x14ac:dyDescent="0.25">
      <c r="O1493" s="1">
        <f t="shared" si="120"/>
        <v>16</v>
      </c>
      <c r="Q1493" s="12">
        <f t="shared" si="116"/>
        <v>2.1143522136165784E-54</v>
      </c>
      <c r="S1493" s="13">
        <f t="shared" si="117"/>
        <v>0</v>
      </c>
      <c r="U1493" s="13">
        <f t="shared" si="118"/>
        <v>0</v>
      </c>
      <c r="V1493" s="12"/>
      <c r="W1493" s="13">
        <f t="shared" si="119"/>
        <v>0</v>
      </c>
    </row>
    <row r="1494" spans="15:23" x14ac:dyDescent="0.25">
      <c r="O1494" s="1">
        <f t="shared" si="120"/>
        <v>15</v>
      </c>
      <c r="Q1494" s="12">
        <f t="shared" si="116"/>
        <v>2.3870900117815128E-56</v>
      </c>
      <c r="S1494" s="13">
        <f t="shared" si="117"/>
        <v>0</v>
      </c>
      <c r="U1494" s="13">
        <f t="shared" si="118"/>
        <v>0</v>
      </c>
      <c r="V1494" s="12"/>
      <c r="W1494" s="13">
        <f t="shared" si="119"/>
        <v>0</v>
      </c>
    </row>
    <row r="1495" spans="15:23" x14ac:dyDescent="0.25">
      <c r="O1495" s="1">
        <f t="shared" si="120"/>
        <v>14</v>
      </c>
      <c r="Q1495" s="12">
        <f t="shared" si="116"/>
        <v>1.8029584013981585E-58</v>
      </c>
      <c r="S1495" s="13">
        <f t="shared" si="117"/>
        <v>0</v>
      </c>
      <c r="U1495" s="13">
        <f t="shared" si="118"/>
        <v>0</v>
      </c>
      <c r="V1495" s="12"/>
      <c r="W1495" s="13">
        <f t="shared" si="119"/>
        <v>0</v>
      </c>
    </row>
    <row r="1496" spans="15:23" x14ac:dyDescent="0.25">
      <c r="O1496" s="1">
        <f t="shared" si="120"/>
        <v>13</v>
      </c>
      <c r="Q1496" s="12">
        <f t="shared" si="116"/>
        <v>8.522006233117102E-61</v>
      </c>
      <c r="S1496" s="13">
        <f t="shared" si="117"/>
        <v>0</v>
      </c>
      <c r="U1496" s="13">
        <f t="shared" si="118"/>
        <v>0</v>
      </c>
      <c r="V1496" s="12"/>
      <c r="W1496" s="13">
        <f t="shared" si="119"/>
        <v>0</v>
      </c>
    </row>
    <row r="1497" spans="15:23" x14ac:dyDescent="0.25">
      <c r="O1497" s="1">
        <f t="shared" si="120"/>
        <v>12</v>
      </c>
      <c r="Q1497" s="12">
        <f t="shared" si="116"/>
        <v>2.3177442063839983E-63</v>
      </c>
      <c r="S1497" s="13">
        <f t="shared" si="117"/>
        <v>0</v>
      </c>
      <c r="U1497" s="13">
        <f t="shared" si="118"/>
        <v>0</v>
      </c>
      <c r="V1497" s="12"/>
      <c r="W1497" s="13">
        <f t="shared" si="119"/>
        <v>0</v>
      </c>
    </row>
    <row r="1498" spans="15:23" x14ac:dyDescent="0.25">
      <c r="O1498" s="1">
        <f t="shared" si="120"/>
        <v>11</v>
      </c>
      <c r="Q1498" s="12">
        <f t="shared" si="116"/>
        <v>3.2572260301235317E-66</v>
      </c>
      <c r="S1498" s="13">
        <f t="shared" si="117"/>
        <v>0</v>
      </c>
      <c r="U1498" s="13">
        <f t="shared" si="118"/>
        <v>0</v>
      </c>
      <c r="V1498" s="12"/>
      <c r="W1498" s="13">
        <f t="shared" si="119"/>
        <v>0</v>
      </c>
    </row>
    <row r="1499" spans="15:23" x14ac:dyDescent="0.25">
      <c r="O1499" s="1">
        <f t="shared" si="120"/>
        <v>10</v>
      </c>
      <c r="Q1499" s="12">
        <f t="shared" si="116"/>
        <v>2.0550382959276457E-69</v>
      </c>
      <c r="S1499" s="13">
        <f t="shared" si="117"/>
        <v>0</v>
      </c>
      <c r="U1499" s="13">
        <f t="shared" si="118"/>
        <v>0</v>
      </c>
      <c r="V1499" s="12"/>
      <c r="W1499" s="13">
        <f t="shared" si="119"/>
        <v>0</v>
      </c>
    </row>
    <row r="1500" spans="15:23" x14ac:dyDescent="0.25">
      <c r="O1500" s="1">
        <f t="shared" si="120"/>
        <v>9</v>
      </c>
      <c r="Q1500" s="12">
        <f t="shared" si="116"/>
        <v>4.8211974957921535E-73</v>
      </c>
      <c r="S1500" s="13">
        <f t="shared" si="117"/>
        <v>0</v>
      </c>
      <c r="U1500" s="13">
        <f t="shared" si="118"/>
        <v>0</v>
      </c>
      <c r="V1500" s="12"/>
      <c r="W1500" s="13">
        <f t="shared" si="119"/>
        <v>0</v>
      </c>
    </row>
    <row r="1501" spans="15:23" x14ac:dyDescent="0.25">
      <c r="O1501" s="1">
        <f t="shared" si="120"/>
        <v>8</v>
      </c>
      <c r="Q1501" s="12">
        <f t="shared" si="116"/>
        <v>3.2428236091761705E-77</v>
      </c>
      <c r="S1501" s="13">
        <f t="shared" si="117"/>
        <v>0</v>
      </c>
      <c r="U1501" s="13">
        <f t="shared" si="118"/>
        <v>0</v>
      </c>
      <c r="V1501" s="12"/>
      <c r="W1501" s="13">
        <f t="shared" si="119"/>
        <v>0</v>
      </c>
    </row>
    <row r="1502" spans="15:23" x14ac:dyDescent="0.25">
      <c r="O1502" s="1">
        <f t="shared" si="120"/>
        <v>7</v>
      </c>
      <c r="Q1502" s="12">
        <f t="shared" si="116"/>
        <v>4.3102041613166935E-82</v>
      </c>
      <c r="S1502" s="13">
        <f t="shared" si="117"/>
        <v>0</v>
      </c>
      <c r="U1502" s="13">
        <f t="shared" si="118"/>
        <v>0</v>
      </c>
      <c r="V1502" s="12"/>
      <c r="W1502" s="13">
        <f t="shared" si="119"/>
        <v>0</v>
      </c>
    </row>
    <row r="1503" spans="15:23" x14ac:dyDescent="0.25">
      <c r="O1503" s="1">
        <f t="shared" si="120"/>
        <v>6</v>
      </c>
      <c r="Q1503" s="12">
        <f t="shared" si="116"/>
        <v>6.4817838194901951E-88</v>
      </c>
      <c r="S1503" s="13">
        <f t="shared" si="117"/>
        <v>0</v>
      </c>
      <c r="U1503" s="13">
        <f t="shared" si="118"/>
        <v>0</v>
      </c>
      <c r="V1503" s="12"/>
      <c r="W1503" s="13">
        <f t="shared" si="119"/>
        <v>0</v>
      </c>
    </row>
    <row r="1504" spans="15:23" x14ac:dyDescent="0.25">
      <c r="O1504" s="1">
        <f t="shared" si="120"/>
        <v>5</v>
      </c>
      <c r="Q1504" s="12">
        <f t="shared" si="116"/>
        <v>4.5421888873920277E-95</v>
      </c>
      <c r="S1504" s="13">
        <f t="shared" si="117"/>
        <v>0</v>
      </c>
      <c r="U1504" s="13">
        <f t="shared" si="118"/>
        <v>0</v>
      </c>
      <c r="V1504" s="12"/>
      <c r="W1504" s="13">
        <f t="shared" si="119"/>
        <v>0</v>
      </c>
    </row>
    <row r="1505" spans="15:23" x14ac:dyDescent="0.25">
      <c r="O1505" s="1">
        <f t="shared" si="120"/>
        <v>4</v>
      </c>
      <c r="Q1505" s="12">
        <f t="shared" si="116"/>
        <v>3.2092584094428742E-104</v>
      </c>
      <c r="S1505" s="13">
        <f t="shared" si="117"/>
        <v>0</v>
      </c>
      <c r="U1505" s="13">
        <f t="shared" si="118"/>
        <v>0</v>
      </c>
      <c r="V1505" s="12"/>
      <c r="W1505" s="13">
        <f t="shared" si="119"/>
        <v>0</v>
      </c>
    </row>
    <row r="1506" spans="15:23" x14ac:dyDescent="0.25">
      <c r="O1506" s="1">
        <f t="shared" si="120"/>
        <v>3</v>
      </c>
      <c r="Q1506" s="12">
        <f t="shared" si="116"/>
        <v>1.1696581486560346E-116</v>
      </c>
      <c r="S1506" s="13">
        <f t="shared" si="117"/>
        <v>0</v>
      </c>
      <c r="U1506" s="13">
        <f t="shared" si="118"/>
        <v>0</v>
      </c>
      <c r="V1506" s="12"/>
      <c r="W1506" s="13">
        <f t="shared" si="119"/>
        <v>0</v>
      </c>
    </row>
    <row r="1507" spans="15:23" x14ac:dyDescent="0.25">
      <c r="O1507" s="1">
        <f t="shared" si="120"/>
        <v>2</v>
      </c>
      <c r="Q1507" s="12">
        <f t="shared" si="116"/>
        <v>2.0493749329222678E-135</v>
      </c>
      <c r="S1507" s="13">
        <f t="shared" si="117"/>
        <v>0</v>
      </c>
      <c r="U1507" s="13">
        <f t="shared" si="118"/>
        <v>0</v>
      </c>
      <c r="V1507" s="12"/>
      <c r="W1507" s="13">
        <f t="shared" si="119"/>
        <v>0</v>
      </c>
    </row>
    <row r="1508" spans="15:23" x14ac:dyDescent="0.25">
      <c r="O1508" s="1">
        <f t="shared" si="120"/>
        <v>1</v>
      </c>
      <c r="Q1508" s="12">
        <f t="shared" si="116"/>
        <v>8.444491870520811E-171</v>
      </c>
      <c r="S1508" s="13">
        <f t="shared" si="117"/>
        <v>0</v>
      </c>
      <c r="U1508" s="13">
        <f t="shared" si="118"/>
        <v>0</v>
      </c>
      <c r="V1508" s="12"/>
      <c r="W1508" s="13">
        <f t="shared" si="119"/>
        <v>0</v>
      </c>
    </row>
    <row r="1509" spans="15:23" x14ac:dyDescent="0.25">
      <c r="O1509" s="1"/>
    </row>
  </sheetData>
  <mergeCells count="2">
    <mergeCell ref="B2:K2"/>
    <mergeCell ref="O2:U2"/>
  </mergeCells>
  <conditionalFormatting sqref="Q9:Q150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{AFDFB1CF-0524-42C7-9F0B-BC1A6A76970B}</x14:id>
        </ext>
      </extLst>
    </cfRule>
  </conditionalFormatting>
  <pageMargins left="0.7" right="0.7" top="0.75" bottom="0.75" header="0.3" footer="0.3"/>
  <pageSetup paperSize="9" orientation="portrait" horizontalDpi="4294967293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DFB1CF-0524-42C7-9F0B-BC1A6A7697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Q9:Q1508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Gaurang Sharma</dc:creator>
  <cp:lastModifiedBy>Gaurang Sharma</cp:lastModifiedBy>
  <dcterms:created xsi:type="dcterms:W3CDTF">2022-07-05T10:18:32Z</dcterms:created>
  <dcterms:modified xsi:type="dcterms:W3CDTF">2022-07-06T09:47:17Z</dcterms:modified>
</cp:coreProperties>
</file>